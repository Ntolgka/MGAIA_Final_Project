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showInkAnnotation="0" autoCompressPictures="0"/>
  <xr:revisionPtr revIDLastSave="278" documentId="11_B800274B460A8799E6D0CAD3C80C72D2649D4A7C" xr6:coauthVersionLast="47" xr6:coauthVersionMax="47" xr10:uidLastSave="{C8E79B23-BE4A-435E-AEEE-E848C9B1C532}"/>
  <bookViews>
    <workbookView xWindow="0" yWindow="0" windowWidth="0" windowHeight="0" xr2:uid="{00000000-000D-0000-FFFF-FFFF00000000}"/>
  </bookViews>
  <sheets>
    <sheet name="Tracker_23-44" sheetId="1" r:id="rId1"/>
    <sheet name="Summary" sheetId="2" r:id="rId2"/>
    <sheet name="Guide" sheetId="3" r:id="rId3"/>
    <sheet name="Lists" sheetId="4" r:id="rId4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X8" i="1" s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X7" i="1"/>
  <c r="E14" i="2"/>
  <c r="E13" i="2"/>
  <c r="E12" i="2"/>
  <c r="E11" i="2"/>
  <c r="H7" i="2"/>
  <c r="E7" i="2"/>
  <c r="H6" i="2"/>
  <c r="E6" i="2"/>
  <c r="H5" i="2"/>
  <c r="E5" i="2"/>
  <c r="H4" i="2"/>
  <c r="E4" i="2"/>
  <c r="B4" i="2"/>
  <c r="Z24" i="1"/>
  <c r="X24" i="1"/>
  <c r="Z23" i="1"/>
  <c r="X23" i="1"/>
  <c r="Z22" i="1"/>
  <c r="X22" i="1"/>
  <c r="Z21" i="1"/>
  <c r="X21" i="1"/>
  <c r="Z20" i="1"/>
  <c r="X20" i="1"/>
  <c r="Z19" i="1"/>
  <c r="X19" i="1"/>
  <c r="Z18" i="1"/>
  <c r="X18" i="1"/>
  <c r="Z17" i="1"/>
  <c r="X17" i="1"/>
  <c r="Z16" i="1"/>
  <c r="X16" i="1"/>
  <c r="Z15" i="1"/>
  <c r="X15" i="1"/>
  <c r="Z14" i="1"/>
  <c r="X14" i="1"/>
  <c r="Z13" i="1"/>
  <c r="X13" i="1"/>
  <c r="Z12" i="1"/>
  <c r="X12" i="1"/>
  <c r="Z11" i="1"/>
  <c r="X11" i="1"/>
  <c r="Z10" i="1"/>
  <c r="X10" i="1"/>
  <c r="Z9" i="1"/>
  <c r="X9" i="1"/>
  <c r="Z8" i="1"/>
  <c r="Z7" i="1"/>
  <c r="Z6" i="1"/>
  <c r="X6" i="1"/>
  <c r="Z5" i="1"/>
  <c r="X5" i="1"/>
  <c r="Z4" i="1"/>
  <c r="X4" i="1"/>
  <c r="Z3" i="1"/>
  <c r="X3" i="1"/>
</calcChain>
</file>

<file path=xl/sharedStrings.xml><?xml version="1.0" encoding="utf-8"?>
<sst xmlns="http://schemas.openxmlformats.org/spreadsheetml/2006/main" count="519" uniqueCount="172">
  <si>
    <t>MRC IVL 2025 Autumn Video Download &amp; Gameplay Cut Tracker — Tolga IDs 23–44</t>
  </si>
  <si>
    <t>ID</t>
  </si>
  <si>
    <t>Date</t>
  </si>
  <si>
    <t>Teams</t>
  </si>
  <si>
    <t>Home Team</t>
  </si>
  <si>
    <t>Away Team</t>
  </si>
  <si>
    <t>Match No.</t>
  </si>
  <si>
    <t>Hunter Side</t>
  </si>
  <si>
    <t>Hunter Team</t>
  </si>
  <si>
    <t>Hunter Player</t>
  </si>
  <si>
    <t>Map</t>
  </si>
  <si>
    <t>Hunter Pick</t>
  </si>
  <si>
    <t>Hunter Trait</t>
  </si>
  <si>
    <t>Survivors</t>
  </si>
  <si>
    <t>Result</t>
  </si>
  <si>
    <t>Official Match Time</t>
  </si>
  <si>
    <t>Source Page</t>
  </si>
  <si>
    <t>Video URL</t>
  </si>
  <si>
    <t>Raw Video Filename</t>
  </si>
  <si>
    <t>Gameplay Start</t>
  </si>
  <si>
    <t>Gameplay End</t>
  </si>
  <si>
    <t>Pause Start</t>
  </si>
  <si>
    <t>Pause End</t>
  </si>
  <si>
    <t>Pause Duration</t>
  </si>
  <si>
    <t>Duration</t>
  </si>
  <si>
    <t>Heart Rate Start</t>
  </si>
  <si>
    <t>Clip Filename</t>
  </si>
  <si>
    <t>Heartbeat Visible</t>
  </si>
  <si>
    <t>Download Status</t>
  </si>
  <si>
    <t>Cut Status</t>
  </si>
  <si>
    <t>Checked?</t>
  </si>
  <si>
    <t>Notes</t>
  </si>
  <si>
    <t>GR vs MRC</t>
  </si>
  <si>
    <t>GR</t>
  </si>
  <si>
    <t>MRC</t>
  </si>
  <si>
    <t>Extra</t>
  </si>
  <si>
    <t>Home</t>
  </si>
  <si>
    <t>jin</t>
  </si>
  <si>
    <t>Red Church</t>
  </si>
  <si>
    <t>Grocer</t>
  </si>
  <si>
    <t>Teleportation</t>
  </si>
  <si>
    <t>xiaox (Savage); huac (Seer); nanako (Voodooist); xiaod (Little Girl)</t>
  </si>
  <si>
    <t>Draw</t>
  </si>
  <si>
    <t>6:51</t>
  </si>
  <si>
    <t>https://ivl.163.com/video/2025autumn/sslx/</t>
  </si>
  <si>
    <t>https://www.bilibili.com/video/BV1BB47zeEno?spm_id_from=333.788.videopod.episodes&amp;vd_source=1b56a7f7c876c97b02d8ab3ec694682f&amp;p=4</t>
  </si>
  <si>
    <t>Yes</t>
  </si>
  <si>
    <t>Done</t>
  </si>
  <si>
    <t>Away</t>
  </si>
  <si>
    <t>bailu</t>
  </si>
  <si>
    <t>Recorder</t>
  </si>
  <si>
    <t>Blink</t>
  </si>
  <si>
    <t>ac (Postman); heart (Escape Artist); red (Mechanic); ak (Air Force)</t>
  </si>
  <si>
    <t>9:23</t>
  </si>
  <si>
    <t>MRC vs FPX.ZQ</t>
  </si>
  <si>
    <t>FPX.ZQ</t>
  </si>
  <si>
    <t>1</t>
  </si>
  <si>
    <t>dongx</t>
  </si>
  <si>
    <t>Leo's Memory</t>
  </si>
  <si>
    <t>Opera Singer</t>
  </si>
  <si>
    <t>xiaox (First Mate); huac (Puppeteer); nanako (Knight); xiaod (Mechanic)</t>
  </si>
  <si>
    <t>5:22</t>
  </si>
  <si>
    <t>https://www.bilibili.com/video/BV1og4czUE2K/?spm_id_from=333.999.0.0&amp;vd_source=1b56a7f7c876c97b02d8ab3ec694682f</t>
  </si>
  <si>
    <t>stian (Voodooist); yuan (Puppeteer); lin (Lucky Guy); yihua (First Mate)</t>
  </si>
  <si>
    <t>Hunter</t>
  </si>
  <si>
    <t>2</t>
  </si>
  <si>
    <t>Arms Factory</t>
  </si>
  <si>
    <t>Lame Sheep</t>
  </si>
  <si>
    <t>Excitement</t>
  </si>
  <si>
    <t>stian (Gardener); yuan (Magician); lin (Forward); yihua (Explorer)</t>
  </si>
  <si>
    <t>6:18</t>
  </si>
  <si>
    <t>https://www.bilibili.com/video/BV1og4czUE2K?spm_id_from=333.788.videopod.episodes&amp;vd_source=1b56a7f7c876c97b02d8ab3ec694682f&amp;p=2</t>
  </si>
  <si>
    <t>Shadow of Time</t>
  </si>
  <si>
    <t>xiaox (Mercenary); huac (Lucky Guy); nanako (Prospector); xiaod (Meteorologist)</t>
  </si>
  <si>
    <t>8:34</t>
  </si>
  <si>
    <t>34:27 - 35:23 Pause</t>
  </si>
  <si>
    <t>MRC vs ACT</t>
  </si>
  <si>
    <t>ACT</t>
  </si>
  <si>
    <t>zz9</t>
  </si>
  <si>
    <t>Yongmin Town</t>
  </si>
  <si>
    <t>xiaox (Gravedigger); huac (Puppeteer); nanako (Knight); xiaod (Professor)</t>
  </si>
  <si>
    <t>5:49</t>
  </si>
  <si>
    <t>https://www.bilibili.com/video/BV1zVWEzfEjM/?spm_id_from=333.999.0.0&amp;vd_source=1b56a7f7c876c97b02d8ab3ec694682f</t>
  </si>
  <si>
    <t>Abnormality</t>
  </si>
  <si>
    <t>eleven (Escape Artist); gougou (Professor); xy (Puppeteer); xmiao5 (Meteorologist)</t>
  </si>
  <si>
    <t>7:01</t>
  </si>
  <si>
    <t>Moon River Park</t>
  </si>
  <si>
    <t>xiaox (Mercenary); huac (Patient); nanako (Fire Investigator); xiaod (Meteorologist)</t>
  </si>
  <si>
    <t>5:06</t>
  </si>
  <si>
    <t>https://www.bilibili.com/video/BV1zVWEzfEjM?spm_id_from=333.788.videopod.episodes&amp;vd_source=1b56a7f7c876c97b02d8ab3ec694682f&amp;p=2</t>
  </si>
  <si>
    <t>Havoc</t>
  </si>
  <si>
    <t>eleven (First Mate); gougou (Fire Investigator); xy (Antiques Dealer); xmiao5 (Aviator)</t>
  </si>
  <si>
    <t>6:38</t>
  </si>
  <si>
    <t>3</t>
  </si>
  <si>
    <t>Guard 26</t>
  </si>
  <si>
    <t>eleven (Gravedigger); gougou (Seer); xy (Lucky Guy); xmiao5 (Patient)</t>
  </si>
  <si>
    <t>6:40</t>
  </si>
  <si>
    <t>https://www.bilibili.com/video/BV1zVWEzfEjM?spm_id_from=333.788.videopod.episodes&amp;vd_source=1b56a7f7c876c97b02d8ab3ec694682f&amp;p=3</t>
  </si>
  <si>
    <t>xiaox (Savage); huac (Acrobat); nanako (Novelist); xiaod (Embalmer)</t>
  </si>
  <si>
    <t>7:22</t>
  </si>
  <si>
    <t>MRC vs WBG</t>
  </si>
  <si>
    <t>WBG</t>
  </si>
  <si>
    <t>n1e</t>
  </si>
  <si>
    <t>Lakeside Village</t>
  </si>
  <si>
    <t>xiaox (Gravedigger); huac (Puppeteer); nanako (Knight); xiaod (Lucky Guy)</t>
  </si>
  <si>
    <t>7:11</t>
  </si>
  <si>
    <t>https://www.bilibili.com/video/BV1UeswzNESd/?spm_id_from=333.999.0.0&amp;vd_source=1b56a7f7c876c97b02d8ab3ec694682f</t>
  </si>
  <si>
    <t>koting (Magician); guoker (Puppeteer); huiyi (Gravedigger); persica (Meteorologist)</t>
  </si>
  <si>
    <t>5:03</t>
  </si>
  <si>
    <t>koting (Cheerleader); guoker (Fire Investigator); huiyi (Mercenary); persica (Lucky Guy)</t>
  </si>
  <si>
    <t>6:12</t>
  </si>
  <si>
    <t>https://www.bilibili.com/video/BV1UeswzNESd?spm_id_from=333.788.videopod.episodes&amp;vd_source=1b56a7f7c876c97b02d8ab3ec694682f&amp;p=2</t>
  </si>
  <si>
    <t>xiaox (First Mate); huac (Patient); nanako (Acrobat); xiaod (Embalmer)</t>
  </si>
  <si>
    <t>8:46</t>
  </si>
  <si>
    <t>TE vs MRC</t>
  </si>
  <si>
    <t>TE</t>
  </si>
  <si>
    <t>Eternal Forest</t>
  </si>
  <si>
    <t>drop (Lucky Guy); maom (Voodooist); libao (Gravedigger); lconfid (Puppeteer)</t>
  </si>
  <si>
    <t>6:46</t>
  </si>
  <si>
    <t>https://www.bilibili.com/video/BV1KqsozQEVr/?spm_id_from=333.999.0.0&amp;vd_source=1b56a7f7c876c97b02d8ab3ec694682f</t>
  </si>
  <si>
    <t>ppei</t>
  </si>
  <si>
    <t>Seer</t>
  </si>
  <si>
    <t>xiaox (Gravedigger); huac (Puppeteer); nanako (Knight); xiaod (Explorer)</t>
  </si>
  <si>
    <t>9:18</t>
  </si>
  <si>
    <t>drop (Bartender); maom (Air Force); libao (Mercenary); lconfid (Meteorologist)</t>
  </si>
  <si>
    <t>7:00</t>
  </si>
  <si>
    <t>https://www.bilibili.com/video/BV1KqsozQEVr?spm_id_from=333.788.videopod.episodes&amp;vd_source=1b56a7f7c876c97b02d8ab3ec694682f&amp;p=2</t>
  </si>
  <si>
    <t>xiaox (Escape Artist); huac (Patient); nanako (Prisoner); xiaod (Meteorologist)</t>
  </si>
  <si>
    <t>5:16</t>
  </si>
  <si>
    <t>MRC vs GW</t>
  </si>
  <si>
    <t>GW</t>
  </si>
  <si>
    <t>littlie</t>
  </si>
  <si>
    <t>xiaox (First Mate); huac (Puppeteer); nanako (Acrobat); xiaod (Mechanic)</t>
  </si>
  <si>
    <t>4:49</t>
  </si>
  <si>
    <t>https://www.bilibili.com/video/BV1jSxPzdEZE/?spm_id_from=333.999.0.0&amp;vd_source=1b56a7f7c876c97b02d8ab3ec694682f</t>
  </si>
  <si>
    <t>lancelot (Magician); leil (Meteorologist); lion (First Mate); unicorn (Puppeteer)</t>
  </si>
  <si>
    <t>5:55</t>
  </si>
  <si>
    <t>Tolga clip assignment summary</t>
  </si>
  <si>
    <t>Assigned ID range</t>
  </si>
  <si>
    <t>23–44</t>
  </si>
  <si>
    <t>Count</t>
  </si>
  <si>
    <t>Total clips</t>
  </si>
  <si>
    <t>Not Started</t>
  </si>
  <si>
    <t>Source list</t>
  </si>
  <si>
    <t>mrc_EN.xlsx</t>
  </si>
  <si>
    <t>In Progress</t>
  </si>
  <si>
    <t>Source page</t>
  </si>
  <si>
    <t>Expected output folder</t>
  </si>
  <si>
    <t>clips_gameplay/</t>
  </si>
  <si>
    <t>Problem</t>
  </si>
  <si>
    <t>Expected filenames</t>
  </si>
  <si>
    <t>023.mp4 … 044.mp4</t>
  </si>
  <si>
    <t>Unknown</t>
  </si>
  <si>
    <t>No</t>
  </si>
  <si>
    <t>Partial</t>
  </si>
  <si>
    <t>Step</t>
  </si>
  <si>
    <t>What to do</t>
  </si>
  <si>
    <t>Use the Tracker_23-44 sheet. Each row is one gameplay clip you need to produce.</t>
  </si>
  <si>
    <t>Find the matching IVL video using Date + Home Team + Away Team. MRC logo left = Home, right = Away/Guest.</t>
  </si>
  <si>
    <t>Download the full video in 1080p first. Do not include ban/pick, breaks, intro, replay, or post-game analysis in final clips.</t>
  </si>
  <si>
    <t>4</t>
  </si>
  <si>
    <t>Enter the full video URL in Video URL and the downloaded file name in Raw Video Filename.</t>
  </si>
  <si>
    <t>5</t>
  </si>
  <si>
    <t>Watch the video and enter actual gameplay start/end timestamps in Gameplay Start and Gameplay End.</t>
  </si>
  <si>
    <t>6</t>
  </si>
  <si>
    <t>Cut clips with ffmpeg and save exactly as the Clip Filename column says, e.g. 023.mp4.</t>
  </si>
  <si>
    <t>7</t>
  </si>
  <si>
    <t>Check whether heartbeat data is visible and set Heartbeat Visible to Yes / No / Partial.</t>
  </si>
  <si>
    <t>8</t>
  </si>
  <si>
    <t>Update Download Status, Cut Status, Checked?, and Notes while working.</t>
  </si>
  <si>
    <t>ffmpeg example</t>
  </si>
  <si>
    <t>ffmpeg -i raw_videos/full_video.mp4 -ss 00:12:40 -to 00:22:15 -c:v libx264 -c:a aac clips_gameplay/023.mp4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</si>
</sst>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yyyy\-mm\-dd"/>
    <numFmt numFmtId="166" formatCode="hh:mm:ss"/>
  </numFmts>
  <fonts count="7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1"/>
      <color rgb="FFFFFFFF"/>
      <name val="Calibri"/>
    </font>
    <font>
      <sz val="11"/>
      <name val="Calibri"/>
    </font>
    <font>
      <u/>
      <sz val="11"/>
      <color theme="10"/>
      <name val="Carlito"/>
    </font>
    <font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1F4E79"/>
      </patternFill>
    </fill>
    <fill>
      <patternFill patternType="solid">
        <fgColor rgb="FF374151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49" fontId="0" fillId="0" borderId="0" xfId="0" applyNumberFormat="1" applyAlignment="1">
      <alignment vertical="top" wrapText="1"/>
    </xf>
    <xf numFmtId="0" fontId="2" fillId="5" borderId="0" xfId="0" applyFont="1" applyFill="1" applyAlignment="1">
      <alignment wrapText="1"/>
    </xf>
    <xf numFmtId="0" fontId="4" fillId="0" borderId="0" xfId="0" applyFont="1"/>
    <xf numFmtId="0" fontId="3" fillId="3" borderId="0" xfId="0" applyFont="1" applyFill="1"/>
    <xf numFmtId="0" fontId="3" fillId="4" borderId="0" xfId="0" applyFont="1" applyFill="1"/>
    <xf numFmtId="0" fontId="5" fillId="0" borderId="0" xfId="1" applyAlignment="1">
      <alignment vertical="top" wrapText="1"/>
    </xf>
    <xf numFmtId="0" fontId="6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7">
    <dxf>
      <numFmt numFmtId="30" formatCode="@"/>
    </dxf>
    <dxf>
      <numFmt numFmtId="166" formatCode="hh:mm:ss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hh:mm:ss"/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numFmt numFmtId="166" formatCode="hh:mm:ss"/>
      <alignment horizontal="general" vertical="top" textRotation="0" wrapText="1" indent="0" justifyLastLine="0" shrinkToFit="0" readingOrder="0"/>
    </dxf>
    <dxf>
      <font>
        <b val="0"/>
      </font>
      <numFmt numFmtId="166" formatCode="hh:mm:ss"/>
      <alignment horizontal="general" vertical="top" textRotation="0" wrapText="1" indent="0" justifyLastLine="0" shrinkToFit="0" readingOrder="0"/>
    </dxf>
    <dxf>
      <numFmt numFmtId="167" formatCode="[mm]:ss"/>
    </dxf>
    <dxf>
      <numFmt numFmtId="167" formatCode="[mm]:ss"/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E40AF"/>
      </font>
      <fill>
        <patternFill patternType="solid">
          <bgColor rgb="FFDBEAFE"/>
        </patternFill>
      </fill>
    </dxf>
    <dxf>
      <font>
        <color rgb="FF166534"/>
      </font>
      <fill>
        <patternFill patternType="solid">
          <bgColor rgb="FFDCFCE7"/>
        </patternFill>
      </fill>
    </dxf>
    <dxf>
      <font>
        <color rgb="FF92400E"/>
      </font>
      <fill>
        <patternFill patternType="solid">
          <bgColor rgb="FFFEF3C7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olgaClipTracker" displayName="TolgaClipTracker" ref="A2:AE24">
  <tableColumns count="31">
    <tableColumn id="1" xr3:uid="{00000000-0010-0000-0000-000001000000}" name="ID"/>
    <tableColumn id="2" xr3:uid="{00000000-0010-0000-0000-000002000000}" name="Date"/>
    <tableColumn id="3" xr3:uid="{00000000-0010-0000-0000-000003000000}" name="Teams"/>
    <tableColumn id="4" xr3:uid="{00000000-0010-0000-0000-000004000000}" name="Home Team"/>
    <tableColumn id="5" xr3:uid="{00000000-0010-0000-0000-000005000000}" name="Away Team"/>
    <tableColumn id="6" xr3:uid="{00000000-0010-0000-0000-000006000000}" name="Match No."/>
    <tableColumn id="7" xr3:uid="{00000000-0010-0000-0000-000007000000}" name="Hunter Side"/>
    <tableColumn id="8" xr3:uid="{00000000-0010-0000-0000-000008000000}" name="Hunter Team"/>
    <tableColumn id="9" xr3:uid="{00000000-0010-0000-0000-000009000000}" name="Hunter Player"/>
    <tableColumn id="10" xr3:uid="{00000000-0010-0000-0000-00000A000000}" name="Map"/>
    <tableColumn id="11" xr3:uid="{00000000-0010-0000-0000-00000B000000}" name="Hunter Pick"/>
    <tableColumn id="12" xr3:uid="{00000000-0010-0000-0000-00000C000000}" name="Hunter Trait"/>
    <tableColumn id="13" xr3:uid="{00000000-0010-0000-0000-00000D000000}" name="Survivors"/>
    <tableColumn id="14" xr3:uid="{00000000-0010-0000-0000-00000E000000}" name="Result"/>
    <tableColumn id="15" xr3:uid="{00000000-0010-0000-0000-00000F000000}" name="Official Match Time"/>
    <tableColumn id="16" xr3:uid="{00000000-0010-0000-0000-000010000000}" name="Source Page"/>
    <tableColumn id="17" xr3:uid="{00000000-0010-0000-0000-000011000000}" name="Video URL"/>
    <tableColumn id="18" xr3:uid="{00000000-0010-0000-0000-000012000000}" name="Raw Video Filename"/>
    <tableColumn id="19" xr3:uid="{00000000-0010-0000-0000-000013000000}" name="Gameplay Start" dataDxfId="6"/>
    <tableColumn id="20" xr3:uid="{00000000-0010-0000-0000-000014000000}" name="Gameplay End" dataDxfId="5"/>
    <tableColumn id="28" xr3:uid="{2D1170B1-6E8F-4440-B55C-0A9EB388D86C}" name="Pause Start" dataDxfId="4"/>
    <tableColumn id="29" xr3:uid="{FCF4EFA6-A493-462D-8FDA-021DD171143D}" name="Pause End" dataDxfId="3"/>
    <tableColumn id="31" xr3:uid="{D6094758-622D-42DA-AB68-864E42597755}" name="Pause Duration" dataDxfId="2">
      <calculatedColumnFormula>IF(OR(U3="",V3=""),0,V3-U3)</calculatedColumnFormula>
    </tableColumn>
    <tableColumn id="21" xr3:uid="{00000000-0010-0000-0000-000015000000}" name="Duration"/>
    <tableColumn id="32" xr3:uid="{4CAA2F3D-6427-48F6-BF07-63B3881DF25E}" name="Heart Rate Start" dataDxfId="1"/>
    <tableColumn id="22" xr3:uid="{00000000-0010-0000-0000-000016000000}" name="Clip Filename"/>
    <tableColumn id="23" xr3:uid="{00000000-0010-0000-0000-000017000000}" name="Heartbeat Visible"/>
    <tableColumn id="24" xr3:uid="{00000000-0010-0000-0000-000018000000}" name="Download Status"/>
    <tableColumn id="25" xr3:uid="{00000000-0010-0000-0000-000019000000}" name="Cut Status"/>
    <tableColumn id="26" xr3:uid="{00000000-0010-0000-0000-00001A000000}" name="Checked?"/>
    <tableColumn id="27" xr3:uid="{00000000-0010-0000-0000-00001B000000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ilibili.com/video/BV1zVWEzfEjM?spm_id_from=333.788.videopod.episodes&amp;vd_source=1b56a7f7c876c97b02d8ab3ec694682f&amp;p=2" TargetMode="External"/><Relationship Id="rId13" Type="http://schemas.openxmlformats.org/officeDocument/2006/relationships/hyperlink" Target="https://www.bilibili.com/video/BV1UeswzNESd?spm_id_from=333.788.videopod.episodes&amp;vd_source=1b56a7f7c876c97b02d8ab3ec694682f&amp;p=2" TargetMode="External"/><Relationship Id="rId18" Type="http://schemas.openxmlformats.org/officeDocument/2006/relationships/hyperlink" Target="https://www.bilibili.com/video/BV1KqsozQEVr?spm_id_from=333.788.videopod.episodes&amp;vd_source=1b56a7f7c876c97b02d8ab3ec694682f&amp;p=2" TargetMode="External"/><Relationship Id="rId3" Type="http://schemas.openxmlformats.org/officeDocument/2006/relationships/hyperlink" Target="https://www.bilibili.com/video/BV1og4czUE2K?spm_id_from=333.788.videopod.episodes&amp;vd_source=1b56a7f7c876c97b02d8ab3ec694682f&amp;p=2" TargetMode="External"/><Relationship Id="rId21" Type="http://schemas.openxmlformats.org/officeDocument/2006/relationships/hyperlink" Target="https://www.bilibili.com/video/BV1BB47zeEno?spm_id_from=333.788.videopod.episodes&amp;vd_source=1b56a7f7c876c97b02d8ab3ec694682f&amp;p=4" TargetMode="External"/><Relationship Id="rId7" Type="http://schemas.openxmlformats.org/officeDocument/2006/relationships/hyperlink" Target="https://www.bilibili.com/video/BV1zVWEzfEjM?spm_id_from=333.788.videopod.episodes&amp;vd_source=1b56a7f7c876c97b02d8ab3ec694682f&amp;p=2" TargetMode="External"/><Relationship Id="rId12" Type="http://schemas.openxmlformats.org/officeDocument/2006/relationships/hyperlink" Target="https://www.bilibili.com/video/BV1UeswzNESd/?spm_id_from=333.999.0.0&amp;vd_source=1b56a7f7c876c97b02d8ab3ec694682f" TargetMode="External"/><Relationship Id="rId17" Type="http://schemas.openxmlformats.org/officeDocument/2006/relationships/hyperlink" Target="https://www.bilibili.com/video/BV1KqsozQEVr?spm_id_from=333.788.videopod.episodes&amp;vd_source=1b56a7f7c876c97b02d8ab3ec694682f&amp;p=2" TargetMode="External"/><Relationship Id="rId2" Type="http://schemas.openxmlformats.org/officeDocument/2006/relationships/hyperlink" Target="https://www.bilibili.com/video/BV1og4czUE2K/?spm_id_from=333.999.0.0&amp;vd_source=1b56a7f7c876c97b02d8ab3ec694682f" TargetMode="External"/><Relationship Id="rId16" Type="http://schemas.openxmlformats.org/officeDocument/2006/relationships/hyperlink" Target="https://www.bilibili.com/video/BV1KqsozQEVr/?spm_id_from=333.999.0.0&amp;vd_source=1b56a7f7c876c97b02d8ab3ec694682f" TargetMode="External"/><Relationship Id="rId20" Type="http://schemas.openxmlformats.org/officeDocument/2006/relationships/hyperlink" Target="https://www.bilibili.com/video/BV1jSxPzdEZE/?spm_id_from=333.999.0.0&amp;vd_source=1b56a7f7c876c97b02d8ab3ec694682f" TargetMode="External"/><Relationship Id="rId1" Type="http://schemas.openxmlformats.org/officeDocument/2006/relationships/hyperlink" Target="https://www.bilibili.com/video/BV1og4czUE2K/?spm_id_from=333.999.0.0&amp;vd_source=1b56a7f7c876c97b02d8ab3ec694682f" TargetMode="External"/><Relationship Id="rId6" Type="http://schemas.openxmlformats.org/officeDocument/2006/relationships/hyperlink" Target="https://www.bilibili.com/video/BV1zVWEzfEjM/?spm_id_from=333.999.0.0&amp;vd_source=1b56a7f7c876c97b02d8ab3ec694682f" TargetMode="External"/><Relationship Id="rId11" Type="http://schemas.openxmlformats.org/officeDocument/2006/relationships/hyperlink" Target="https://www.bilibili.com/video/BV1UeswzNESd/?spm_id_from=333.999.0.0&amp;vd_source=1b56a7f7c876c97b02d8ab3ec694682f" TargetMode="External"/><Relationship Id="rId5" Type="http://schemas.openxmlformats.org/officeDocument/2006/relationships/hyperlink" Target="https://www.bilibili.com/video/BV1zVWEzfEjM/?spm_id_from=333.999.0.0&amp;vd_source=1b56a7f7c876c97b02d8ab3ec694682f" TargetMode="External"/><Relationship Id="rId15" Type="http://schemas.openxmlformats.org/officeDocument/2006/relationships/hyperlink" Target="https://www.bilibili.com/video/BV1KqsozQEVr/?spm_id_from=333.999.0.0&amp;vd_source=1b56a7f7c876c97b02d8ab3ec694682f" TargetMode="External"/><Relationship Id="rId23" Type="http://schemas.openxmlformats.org/officeDocument/2006/relationships/table" Target="../tables/table1.xml"/><Relationship Id="rId10" Type="http://schemas.openxmlformats.org/officeDocument/2006/relationships/hyperlink" Target="https://www.bilibili.com/video/BV1zVWEzfEjM?spm_id_from=333.788.videopod.episodes&amp;vd_source=1b56a7f7c876c97b02d8ab3ec694682f&amp;p=3" TargetMode="External"/><Relationship Id="rId19" Type="http://schemas.openxmlformats.org/officeDocument/2006/relationships/hyperlink" Target="https://www.bilibili.com/video/BV1jSxPzdEZE/?spm_id_from=333.999.0.0&amp;vd_source=1b56a7f7c876c97b02d8ab3ec694682f" TargetMode="External"/><Relationship Id="rId4" Type="http://schemas.openxmlformats.org/officeDocument/2006/relationships/hyperlink" Target="https://www.bilibili.com/video/BV1og4czUE2K?spm_id_from=333.788.videopod.episodes&amp;vd_source=1b56a7f7c876c97b02d8ab3ec694682f&amp;p=2" TargetMode="External"/><Relationship Id="rId9" Type="http://schemas.openxmlformats.org/officeDocument/2006/relationships/hyperlink" Target="https://www.bilibili.com/video/BV1zVWEzfEjM?spm_id_from=333.788.videopod.episodes&amp;vd_source=1b56a7f7c876c97b02d8ab3ec694682f&amp;p=3" TargetMode="External"/><Relationship Id="rId14" Type="http://schemas.openxmlformats.org/officeDocument/2006/relationships/hyperlink" Target="https://www.bilibili.com/video/BV1UeswzNESd?spm_id_from=333.788.videopod.episodes&amp;vd_source=1b56a7f7c876c97b02d8ab3ec694682f&amp;p=2" TargetMode="External"/><Relationship Id="rId22" Type="http://schemas.openxmlformats.org/officeDocument/2006/relationships/hyperlink" Target="https://www.bilibili.com/video/BV1BB47zeEno?spm_id_from=333.788.videopod.episodes&amp;vd_source=1b56a7f7c876c97b02d8ab3ec694682f&amp;p=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4"/>
  <sheetViews>
    <sheetView tabSelected="1" zoomScaleNormal="100" zoomScaleSheetLayoutView="100" workbookViewId="0">
      <selection activeCell="G5" sqref="G5"/>
    </sheetView>
  </sheetViews>
  <sheetFormatPr defaultRowHeight="14.25" customHeight="1"/>
  <cols>
    <col min="1" max="1" width="7" customWidth="1"/>
    <col min="2" max="2" width="12" customWidth="1"/>
    <col min="3" max="3" width="16" customWidth="1"/>
    <col min="4" max="6" width="10" customWidth="1"/>
    <col min="7" max="7" width="12" customWidth="1"/>
    <col min="8" max="8" width="11" customWidth="1"/>
    <col min="9" max="9" width="13" customWidth="1"/>
    <col min="10" max="12" width="16" customWidth="1"/>
    <col min="13" max="13" width="42" customWidth="1"/>
    <col min="14" max="14" width="12" customWidth="1"/>
    <col min="15" max="15" width="13" customWidth="1"/>
    <col min="16" max="17" width="34" customWidth="1"/>
    <col min="18" max="18" width="24" customWidth="1"/>
    <col min="19" max="19" width="12.125" customWidth="1"/>
    <col min="20" max="21" width="11.625" customWidth="1"/>
    <col min="22" max="22" width="9.375" customWidth="1"/>
    <col min="23" max="23" width="9" customWidth="1"/>
    <col min="24" max="24" width="9.875" customWidth="1"/>
    <col min="25" max="25" width="7.5" customWidth="1"/>
    <col min="26" max="26" width="10.25" customWidth="1"/>
    <col min="27" max="27" width="13.75" customWidth="1"/>
    <col min="28" max="28" width="16" customWidth="1"/>
    <col min="29" max="29" width="14" customWidth="1"/>
    <col min="30" max="30" width="10" customWidth="1"/>
    <col min="31" max="31" width="34" customWidth="1"/>
  </cols>
  <sheetData>
    <row r="1" spans="1:31" ht="27.95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</row>
    <row r="2" spans="1:31" ht="33.950000000000003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14" t="s">
        <v>21</v>
      </c>
      <c r="V2" s="14" t="s">
        <v>22</v>
      </c>
      <c r="W2" s="14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ht="84">
      <c r="A3" s="5">
        <v>23</v>
      </c>
      <c r="B3" s="6">
        <v>45940</v>
      </c>
      <c r="C3" s="4" t="s">
        <v>32</v>
      </c>
      <c r="D3" s="4" t="s">
        <v>33</v>
      </c>
      <c r="E3" s="4" t="s">
        <v>34</v>
      </c>
      <c r="F3" s="4" t="s">
        <v>35</v>
      </c>
      <c r="G3" s="4" t="s">
        <v>36</v>
      </c>
      <c r="H3" s="4" t="s">
        <v>33</v>
      </c>
      <c r="I3" s="4" t="s">
        <v>37</v>
      </c>
      <c r="J3" s="4" t="s">
        <v>38</v>
      </c>
      <c r="K3" s="4" t="s">
        <v>39</v>
      </c>
      <c r="L3" s="4" t="s">
        <v>40</v>
      </c>
      <c r="M3" s="4" t="s">
        <v>41</v>
      </c>
      <c r="N3" s="4" t="s">
        <v>42</v>
      </c>
      <c r="O3" s="8" t="s">
        <v>43</v>
      </c>
      <c r="P3" s="4" t="s">
        <v>44</v>
      </c>
      <c r="Q3" s="13" t="s">
        <v>45</v>
      </c>
      <c r="R3" s="4"/>
      <c r="S3" s="7">
        <v>8.7615740740740744E-3</v>
      </c>
      <c r="T3" s="7">
        <v>1.3425925925925926E-2</v>
      </c>
      <c r="U3" s="7"/>
      <c r="V3" s="7"/>
      <c r="W3" s="7">
        <f t="shared" ref="W3:W24" si="0">IF(OR(U3="",V3=""),0,V3-U3)</f>
        <v>0</v>
      </c>
      <c r="X3" s="7">
        <f>IF(OR(S3="",T3=""),"",T3-S3)</f>
        <v>4.6643518518518518E-3</v>
      </c>
      <c r="Y3" s="7">
        <v>4.2824074074074075E-4</v>
      </c>
      <c r="Z3" s="4" t="str">
        <f>TEXT(A3,"000")&amp;".mp4"</f>
        <v>023.mp4</v>
      </c>
      <c r="AA3" s="4" t="s">
        <v>46</v>
      </c>
      <c r="AB3" s="4" t="s">
        <v>47</v>
      </c>
      <c r="AC3" s="4" t="s">
        <v>47</v>
      </c>
      <c r="AD3" s="4" t="s">
        <v>46</v>
      </c>
      <c r="AE3" s="8"/>
    </row>
    <row r="4" spans="1:31" ht="84">
      <c r="A4" s="5">
        <v>24</v>
      </c>
      <c r="B4" s="6">
        <v>45940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48</v>
      </c>
      <c r="H4" s="4" t="s">
        <v>34</v>
      </c>
      <c r="I4" s="4" t="s">
        <v>49</v>
      </c>
      <c r="J4" s="4" t="s">
        <v>38</v>
      </c>
      <c r="K4" s="4" t="s">
        <v>50</v>
      </c>
      <c r="L4" s="4" t="s">
        <v>51</v>
      </c>
      <c r="M4" s="4" t="s">
        <v>52</v>
      </c>
      <c r="N4" s="4" t="s">
        <v>42</v>
      </c>
      <c r="O4" s="8" t="s">
        <v>53</v>
      </c>
      <c r="P4" s="4" t="s">
        <v>44</v>
      </c>
      <c r="Q4" s="13" t="s">
        <v>45</v>
      </c>
      <c r="R4" s="4"/>
      <c r="S4" s="7">
        <v>2.0590277777777777E-2</v>
      </c>
      <c r="T4" s="7">
        <v>2.7025462962962963E-2</v>
      </c>
      <c r="U4" s="7"/>
      <c r="V4" s="7"/>
      <c r="W4" s="7">
        <f t="shared" si="0"/>
        <v>0</v>
      </c>
      <c r="X4" s="7">
        <f>IF(OR(S4="",T4=""),"",T4-S4)</f>
        <v>6.4351851851851861E-3</v>
      </c>
      <c r="Y4" s="7">
        <v>4.861111111111111E-4</v>
      </c>
      <c r="Z4" s="4" t="str">
        <f>TEXT(A4,"000")&amp;".mp4"</f>
        <v>024.mp4</v>
      </c>
      <c r="AA4" s="4" t="s">
        <v>46</v>
      </c>
      <c r="AB4" s="4" t="s">
        <v>47</v>
      </c>
      <c r="AC4" s="4" t="s">
        <v>47</v>
      </c>
      <c r="AD4" s="4" t="s">
        <v>46</v>
      </c>
      <c r="AE4" s="8"/>
    </row>
    <row r="5" spans="1:31" ht="66.75">
      <c r="A5" s="5">
        <v>25</v>
      </c>
      <c r="B5" s="6">
        <v>45941</v>
      </c>
      <c r="C5" s="4" t="s">
        <v>54</v>
      </c>
      <c r="D5" s="4" t="s">
        <v>34</v>
      </c>
      <c r="E5" s="4" t="s">
        <v>55</v>
      </c>
      <c r="F5" s="4" t="s">
        <v>56</v>
      </c>
      <c r="G5" s="4" t="s">
        <v>48</v>
      </c>
      <c r="H5" s="4" t="s">
        <v>55</v>
      </c>
      <c r="I5" s="4" t="s">
        <v>57</v>
      </c>
      <c r="J5" s="4" t="s">
        <v>58</v>
      </c>
      <c r="K5" s="4" t="s">
        <v>59</v>
      </c>
      <c r="L5" s="4" t="s">
        <v>51</v>
      </c>
      <c r="M5" s="4" t="s">
        <v>60</v>
      </c>
      <c r="N5" s="4" t="s">
        <v>13</v>
      </c>
      <c r="O5" s="8" t="s">
        <v>61</v>
      </c>
      <c r="P5" s="4" t="s">
        <v>44</v>
      </c>
      <c r="Q5" s="13" t="s">
        <v>62</v>
      </c>
      <c r="R5" s="4"/>
      <c r="S5" s="7">
        <v>1.1284722222222222E-2</v>
      </c>
      <c r="T5" s="7">
        <v>1.4999999999999999E-2</v>
      </c>
      <c r="U5" s="7"/>
      <c r="V5" s="7"/>
      <c r="W5" s="7">
        <f t="shared" si="0"/>
        <v>0</v>
      </c>
      <c r="X5" s="7">
        <f>IF(OR(S5="",T5=""),"",T5-S5)</f>
        <v>3.7152777777777774E-3</v>
      </c>
      <c r="Y5" s="7">
        <v>4.861111111111111E-4</v>
      </c>
      <c r="Z5" s="4" t="str">
        <f>TEXT(A5,"000")&amp;".mp4"</f>
        <v>025.mp4</v>
      </c>
      <c r="AA5" s="4" t="s">
        <v>46</v>
      </c>
      <c r="AB5" s="4" t="s">
        <v>47</v>
      </c>
      <c r="AC5" s="4" t="s">
        <v>47</v>
      </c>
      <c r="AD5" s="4" t="s">
        <v>46</v>
      </c>
      <c r="AE5" s="8"/>
    </row>
    <row r="6" spans="1:31" ht="66.75">
      <c r="A6" s="5">
        <v>26</v>
      </c>
      <c r="B6" s="6">
        <v>45941</v>
      </c>
      <c r="C6" s="4" t="s">
        <v>54</v>
      </c>
      <c r="D6" s="4" t="s">
        <v>34</v>
      </c>
      <c r="E6" s="4" t="s">
        <v>55</v>
      </c>
      <c r="F6" s="4" t="s">
        <v>56</v>
      </c>
      <c r="G6" s="4" t="s">
        <v>36</v>
      </c>
      <c r="H6" s="4" t="s">
        <v>34</v>
      </c>
      <c r="I6" s="4" t="s">
        <v>49</v>
      </c>
      <c r="J6" s="4" t="s">
        <v>58</v>
      </c>
      <c r="K6" s="4" t="s">
        <v>59</v>
      </c>
      <c r="L6" s="4" t="s">
        <v>51</v>
      </c>
      <c r="M6" s="4" t="s">
        <v>63</v>
      </c>
      <c r="N6" s="4" t="s">
        <v>64</v>
      </c>
      <c r="O6" s="8" t="s">
        <v>43</v>
      </c>
      <c r="P6" s="4" t="s">
        <v>44</v>
      </c>
      <c r="Q6" s="13" t="s">
        <v>62</v>
      </c>
      <c r="R6" s="4"/>
      <c r="S6" s="7">
        <v>2.1805555555555557E-2</v>
      </c>
      <c r="T6" s="7">
        <v>2.6574074074074073E-2</v>
      </c>
      <c r="U6" s="7"/>
      <c r="V6" s="7"/>
      <c r="W6" s="7">
        <f t="shared" si="0"/>
        <v>0</v>
      </c>
      <c r="X6" s="7">
        <f>IF(OR(S6="",T6=""),"",T6-S6)</f>
        <v>4.7685185185185157E-3</v>
      </c>
      <c r="Y6" s="7">
        <v>1.0069444444444444E-3</v>
      </c>
      <c r="Z6" s="4" t="str">
        <f>TEXT(A6,"000")&amp;".mp4"</f>
        <v>026.mp4</v>
      </c>
      <c r="AA6" s="4" t="s">
        <v>46</v>
      </c>
      <c r="AB6" s="4" t="s">
        <v>47</v>
      </c>
      <c r="AC6" s="4" t="s">
        <v>47</v>
      </c>
      <c r="AD6" s="4" t="s">
        <v>46</v>
      </c>
      <c r="AE6" s="8"/>
    </row>
    <row r="7" spans="1:31" ht="84">
      <c r="A7" s="5">
        <v>27</v>
      </c>
      <c r="B7" s="6">
        <v>45941</v>
      </c>
      <c r="C7" s="4" t="s">
        <v>54</v>
      </c>
      <c r="D7" s="4" t="s">
        <v>34</v>
      </c>
      <c r="E7" s="4" t="s">
        <v>55</v>
      </c>
      <c r="F7" s="4" t="s">
        <v>65</v>
      </c>
      <c r="G7" s="4" t="s">
        <v>36</v>
      </c>
      <c r="H7" s="4" t="s">
        <v>34</v>
      </c>
      <c r="I7" s="4" t="s">
        <v>49</v>
      </c>
      <c r="J7" s="4" t="s">
        <v>66</v>
      </c>
      <c r="K7" s="4" t="s">
        <v>67</v>
      </c>
      <c r="L7" s="4" t="s">
        <v>68</v>
      </c>
      <c r="M7" s="4" t="s">
        <v>69</v>
      </c>
      <c r="N7" s="4" t="s">
        <v>64</v>
      </c>
      <c r="O7" s="8" t="s">
        <v>70</v>
      </c>
      <c r="P7" s="4" t="s">
        <v>44</v>
      </c>
      <c r="Q7" s="13" t="s">
        <v>71</v>
      </c>
      <c r="R7" s="4"/>
      <c r="S7" s="7">
        <v>6.8055555555555551E-3</v>
      </c>
      <c r="T7" s="7">
        <v>1.1168981481481481E-2</v>
      </c>
      <c r="U7" s="7"/>
      <c r="V7" s="7"/>
      <c r="W7" s="7">
        <f t="shared" si="0"/>
        <v>0</v>
      </c>
      <c r="X7" s="7">
        <f>IF(OR(S7="",T7=""),"",T7-S7)</f>
        <v>4.363425925925926E-3</v>
      </c>
      <c r="Y7" s="7">
        <v>8.3333333333333339E-4</v>
      </c>
      <c r="Z7" s="4" t="str">
        <f>TEXT(A7,"000")&amp;".mp4"</f>
        <v>027.mp4</v>
      </c>
      <c r="AA7" s="4" t="s">
        <v>46</v>
      </c>
      <c r="AB7" s="4" t="s">
        <v>47</v>
      </c>
      <c r="AC7" s="4" t="s">
        <v>47</v>
      </c>
      <c r="AD7" s="4" t="s">
        <v>46</v>
      </c>
      <c r="AE7" s="8"/>
    </row>
    <row r="8" spans="1:31" ht="84">
      <c r="A8" s="5">
        <v>28</v>
      </c>
      <c r="B8" s="6">
        <v>45941</v>
      </c>
      <c r="C8" s="4" t="s">
        <v>54</v>
      </c>
      <c r="D8" s="4" t="s">
        <v>34</v>
      </c>
      <c r="E8" s="4" t="s">
        <v>55</v>
      </c>
      <c r="F8" s="4" t="s">
        <v>65</v>
      </c>
      <c r="G8" s="4" t="s">
        <v>48</v>
      </c>
      <c r="H8" s="4" t="s">
        <v>55</v>
      </c>
      <c r="I8" s="4" t="s">
        <v>57</v>
      </c>
      <c r="J8" s="4" t="s">
        <v>66</v>
      </c>
      <c r="K8" s="4" t="s">
        <v>72</v>
      </c>
      <c r="L8" s="4" t="s">
        <v>51</v>
      </c>
      <c r="M8" s="4" t="s">
        <v>73</v>
      </c>
      <c r="N8" s="4" t="s">
        <v>13</v>
      </c>
      <c r="O8" s="8" t="s">
        <v>74</v>
      </c>
      <c r="P8" s="4" t="s">
        <v>44</v>
      </c>
      <c r="Q8" s="13" t="s">
        <v>71</v>
      </c>
      <c r="R8" s="4"/>
      <c r="S8" s="7">
        <v>1.9085648148148147E-2</v>
      </c>
      <c r="T8" s="7">
        <v>2.5694444444444443E-2</v>
      </c>
      <c r="U8" s="7">
        <v>2.3923611111111111E-2</v>
      </c>
      <c r="V8" s="7">
        <v>2.4571759259259258E-2</v>
      </c>
      <c r="W8" s="7">
        <f t="shared" si="0"/>
        <v>6.481481481481477E-4</v>
      </c>
      <c r="X8" s="7">
        <f>IF(OR(S8="",T8=""),"",(T8-S8)-W8)</f>
        <v>5.9606481481481489E-3</v>
      </c>
      <c r="Y8" s="7">
        <v>5.5555555555555556E-4</v>
      </c>
      <c r="Z8" s="4" t="str">
        <f>TEXT(A8,"000")&amp;".mp4"</f>
        <v>028.mp4</v>
      </c>
      <c r="AA8" s="4" t="s">
        <v>46</v>
      </c>
      <c r="AB8" s="4" t="s">
        <v>47</v>
      </c>
      <c r="AC8" s="4" t="s">
        <v>47</v>
      </c>
      <c r="AD8" s="4" t="s">
        <v>46</v>
      </c>
      <c r="AE8" s="8" t="s">
        <v>75</v>
      </c>
    </row>
    <row r="9" spans="1:31" ht="66.75">
      <c r="A9" s="5">
        <v>29</v>
      </c>
      <c r="B9" s="6">
        <v>45947</v>
      </c>
      <c r="C9" s="4" t="s">
        <v>76</v>
      </c>
      <c r="D9" s="4" t="s">
        <v>34</v>
      </c>
      <c r="E9" s="4" t="s">
        <v>77</v>
      </c>
      <c r="F9" s="4" t="s">
        <v>56</v>
      </c>
      <c r="G9" s="4" t="s">
        <v>48</v>
      </c>
      <c r="H9" s="4" t="s">
        <v>77</v>
      </c>
      <c r="I9" s="4" t="s">
        <v>78</v>
      </c>
      <c r="J9" s="4" t="s">
        <v>79</v>
      </c>
      <c r="K9" s="4" t="s">
        <v>72</v>
      </c>
      <c r="L9" s="4" t="s">
        <v>51</v>
      </c>
      <c r="M9" s="4" t="s">
        <v>80</v>
      </c>
      <c r="N9" s="4" t="s">
        <v>64</v>
      </c>
      <c r="O9" s="8" t="s">
        <v>81</v>
      </c>
      <c r="P9" s="4" t="s">
        <v>44</v>
      </c>
      <c r="Q9" s="13" t="s">
        <v>82</v>
      </c>
      <c r="R9" s="4"/>
      <c r="S9" s="7">
        <v>1.1597222222222222E-2</v>
      </c>
      <c r="T9" s="7">
        <v>1.5590277777777778E-2</v>
      </c>
      <c r="U9" s="7"/>
      <c r="V9" s="7"/>
      <c r="W9" s="7">
        <f t="shared" si="0"/>
        <v>0</v>
      </c>
      <c r="X9" s="7">
        <f>IF(OR(S9="",T9=""),"",T9-S9)</f>
        <v>3.9930555555555552E-3</v>
      </c>
      <c r="Y9" s="7">
        <v>4.5138888888888887E-4</v>
      </c>
      <c r="Z9" s="4" t="str">
        <f>TEXT(A9,"000")&amp;".mp4"</f>
        <v>029.mp4</v>
      </c>
      <c r="AA9" s="4" t="s">
        <v>46</v>
      </c>
      <c r="AB9" s="4" t="s">
        <v>47</v>
      </c>
      <c r="AC9" s="4" t="s">
        <v>47</v>
      </c>
      <c r="AD9" s="4" t="s">
        <v>46</v>
      </c>
      <c r="AE9" s="8"/>
    </row>
    <row r="10" spans="1:31" ht="66.75">
      <c r="A10" s="5">
        <v>30</v>
      </c>
      <c r="B10" s="6">
        <v>45947</v>
      </c>
      <c r="C10" s="4" t="s">
        <v>76</v>
      </c>
      <c r="D10" s="4" t="s">
        <v>34</v>
      </c>
      <c r="E10" s="4" t="s">
        <v>77</v>
      </c>
      <c r="F10" s="4" t="s">
        <v>56</v>
      </c>
      <c r="G10" s="4" t="s">
        <v>36</v>
      </c>
      <c r="H10" s="4" t="s">
        <v>34</v>
      </c>
      <c r="I10" s="4" t="s">
        <v>49</v>
      </c>
      <c r="J10" s="4" t="s">
        <v>79</v>
      </c>
      <c r="K10" s="4" t="s">
        <v>67</v>
      </c>
      <c r="L10" s="4" t="s">
        <v>83</v>
      </c>
      <c r="M10" s="4" t="s">
        <v>84</v>
      </c>
      <c r="N10" s="4" t="s">
        <v>64</v>
      </c>
      <c r="O10" s="8" t="s">
        <v>85</v>
      </c>
      <c r="P10" s="4" t="s">
        <v>44</v>
      </c>
      <c r="Q10" s="13" t="s">
        <v>82</v>
      </c>
      <c r="R10" s="4"/>
      <c r="S10" s="7">
        <v>2.2349537037037036E-2</v>
      </c>
      <c r="T10" s="7">
        <v>2.71875E-2</v>
      </c>
      <c r="U10" s="7"/>
      <c r="V10" s="7"/>
      <c r="W10" s="7">
        <f t="shared" si="0"/>
        <v>0</v>
      </c>
      <c r="X10" s="7">
        <f>IF(OR(S10="",T10=""),"",T10-S10)</f>
        <v>4.837962962962964E-3</v>
      </c>
      <c r="Y10" s="7">
        <v>5.0925925925925921E-4</v>
      </c>
      <c r="Z10" s="4" t="str">
        <f>TEXT(A10,"000")&amp;".mp4"</f>
        <v>030.mp4</v>
      </c>
      <c r="AA10" s="4" t="s">
        <v>46</v>
      </c>
      <c r="AB10" s="4" t="s">
        <v>47</v>
      </c>
      <c r="AC10" s="4" t="s">
        <v>47</v>
      </c>
      <c r="AD10" s="4" t="s">
        <v>46</v>
      </c>
      <c r="AE10" s="8"/>
    </row>
    <row r="11" spans="1:31" ht="84">
      <c r="A11" s="5">
        <v>31</v>
      </c>
      <c r="B11" s="6">
        <v>45947</v>
      </c>
      <c r="C11" s="4" t="s">
        <v>76</v>
      </c>
      <c r="D11" s="4" t="s">
        <v>34</v>
      </c>
      <c r="E11" s="4" t="s">
        <v>77</v>
      </c>
      <c r="F11" s="4" t="s">
        <v>65</v>
      </c>
      <c r="G11" s="4" t="s">
        <v>48</v>
      </c>
      <c r="H11" s="4" t="s">
        <v>77</v>
      </c>
      <c r="I11" s="4" t="s">
        <v>78</v>
      </c>
      <c r="J11" s="4" t="s">
        <v>86</v>
      </c>
      <c r="K11" s="4" t="s">
        <v>59</v>
      </c>
      <c r="L11" s="4" t="s">
        <v>51</v>
      </c>
      <c r="M11" s="4" t="s">
        <v>87</v>
      </c>
      <c r="N11" s="4" t="s">
        <v>42</v>
      </c>
      <c r="O11" s="8" t="s">
        <v>88</v>
      </c>
      <c r="P11" s="4" t="s">
        <v>44</v>
      </c>
      <c r="Q11" s="13" t="s">
        <v>89</v>
      </c>
      <c r="R11" s="4"/>
      <c r="S11" s="7">
        <v>7.0023148148148145E-3</v>
      </c>
      <c r="T11" s="7">
        <v>1.0532407407407407E-2</v>
      </c>
      <c r="U11" s="7"/>
      <c r="V11" s="7"/>
      <c r="W11" s="7">
        <f t="shared" si="0"/>
        <v>0</v>
      </c>
      <c r="X11" s="7">
        <f>IF(OR(S11="",T11=""),"",T11-S11)</f>
        <v>3.5300925925925925E-3</v>
      </c>
      <c r="Y11" s="7">
        <v>5.2083333333333333E-4</v>
      </c>
      <c r="Z11" s="4" t="str">
        <f>TEXT(A11,"000")&amp;".mp4"</f>
        <v>031.mp4</v>
      </c>
      <c r="AA11" s="4" t="s">
        <v>46</v>
      </c>
      <c r="AB11" s="4" t="s">
        <v>47</v>
      </c>
      <c r="AC11" s="4" t="s">
        <v>47</v>
      </c>
      <c r="AD11" s="4" t="s">
        <v>46</v>
      </c>
      <c r="AE11" s="8"/>
    </row>
    <row r="12" spans="1:31" ht="84">
      <c r="A12" s="5">
        <v>32</v>
      </c>
      <c r="B12" s="6">
        <v>45947</v>
      </c>
      <c r="C12" s="4" t="s">
        <v>76</v>
      </c>
      <c r="D12" s="4" t="s">
        <v>34</v>
      </c>
      <c r="E12" s="4" t="s">
        <v>77</v>
      </c>
      <c r="F12" s="4" t="s">
        <v>65</v>
      </c>
      <c r="G12" s="4" t="s">
        <v>36</v>
      </c>
      <c r="H12" s="4" t="s">
        <v>34</v>
      </c>
      <c r="I12" s="4" t="s">
        <v>49</v>
      </c>
      <c r="J12" s="4" t="s">
        <v>86</v>
      </c>
      <c r="K12" s="4" t="s">
        <v>90</v>
      </c>
      <c r="L12" s="4" t="s">
        <v>40</v>
      </c>
      <c r="M12" s="4" t="s">
        <v>91</v>
      </c>
      <c r="N12" s="4" t="s">
        <v>42</v>
      </c>
      <c r="O12" s="8" t="s">
        <v>92</v>
      </c>
      <c r="P12" s="4" t="s">
        <v>44</v>
      </c>
      <c r="Q12" s="13" t="s">
        <v>89</v>
      </c>
      <c r="R12" s="4"/>
      <c r="S12" s="7">
        <v>1.6643518518518519E-2</v>
      </c>
      <c r="T12" s="7">
        <v>2.1238425925925924E-2</v>
      </c>
      <c r="U12" s="7"/>
      <c r="V12" s="7"/>
      <c r="W12" s="7">
        <f t="shared" si="0"/>
        <v>0</v>
      </c>
      <c r="X12" s="7">
        <f>IF(OR(S12="",T12=""),"",T12-S12)</f>
        <v>4.5949074074074052E-3</v>
      </c>
      <c r="Y12" s="7">
        <v>7.0601851851851847E-4</v>
      </c>
      <c r="Z12" s="4" t="str">
        <f>TEXT(A12,"000")&amp;".mp4"</f>
        <v>032.mp4</v>
      </c>
      <c r="AA12" s="4" t="s">
        <v>46</v>
      </c>
      <c r="AB12" s="4" t="s">
        <v>47</v>
      </c>
      <c r="AC12" s="4" t="s">
        <v>47</v>
      </c>
      <c r="AD12" s="4" t="s">
        <v>46</v>
      </c>
      <c r="AE12" s="8"/>
    </row>
    <row r="13" spans="1:31" ht="84">
      <c r="A13" s="5">
        <v>33</v>
      </c>
      <c r="B13" s="6">
        <v>45947</v>
      </c>
      <c r="C13" s="4" t="s">
        <v>76</v>
      </c>
      <c r="D13" s="4" t="s">
        <v>34</v>
      </c>
      <c r="E13" s="4" t="s">
        <v>77</v>
      </c>
      <c r="F13" s="4" t="s">
        <v>93</v>
      </c>
      <c r="G13" s="4" t="s">
        <v>36</v>
      </c>
      <c r="H13" s="4" t="s">
        <v>34</v>
      </c>
      <c r="I13" s="4" t="s">
        <v>49</v>
      </c>
      <c r="J13" s="4" t="s">
        <v>38</v>
      </c>
      <c r="K13" s="4" t="s">
        <v>94</v>
      </c>
      <c r="L13" s="4" t="s">
        <v>40</v>
      </c>
      <c r="M13" s="4" t="s">
        <v>95</v>
      </c>
      <c r="N13" s="4" t="s">
        <v>64</v>
      </c>
      <c r="O13" s="8" t="s">
        <v>96</v>
      </c>
      <c r="P13" s="4" t="s">
        <v>44</v>
      </c>
      <c r="Q13" s="13" t="s">
        <v>97</v>
      </c>
      <c r="R13" s="4"/>
      <c r="S13" s="7">
        <v>6.5624999999999998E-3</v>
      </c>
      <c r="T13" s="7">
        <v>1.1122685185185185E-2</v>
      </c>
      <c r="U13" s="7"/>
      <c r="V13" s="7"/>
      <c r="W13" s="7">
        <f t="shared" si="0"/>
        <v>0</v>
      </c>
      <c r="X13" s="7">
        <f>IF(OR(S13="",T13=""),"",T13-S13)</f>
        <v>4.5601851851851853E-3</v>
      </c>
      <c r="Y13" s="7">
        <v>4.7453703703703704E-4</v>
      </c>
      <c r="Z13" s="4" t="str">
        <f>TEXT(A13,"000")&amp;".mp4"</f>
        <v>033.mp4</v>
      </c>
      <c r="AA13" s="4" t="s">
        <v>46</v>
      </c>
      <c r="AB13" s="4" t="s">
        <v>47</v>
      </c>
      <c r="AC13" s="4" t="s">
        <v>47</v>
      </c>
      <c r="AD13" s="4" t="s">
        <v>46</v>
      </c>
      <c r="AE13" s="8"/>
    </row>
    <row r="14" spans="1:31" ht="84">
      <c r="A14" s="5">
        <v>34</v>
      </c>
      <c r="B14" s="6">
        <v>45947</v>
      </c>
      <c r="C14" s="4" t="s">
        <v>76</v>
      </c>
      <c r="D14" s="4" t="s">
        <v>34</v>
      </c>
      <c r="E14" s="4" t="s">
        <v>77</v>
      </c>
      <c r="F14" s="4" t="s">
        <v>93</v>
      </c>
      <c r="G14" s="4" t="s">
        <v>48</v>
      </c>
      <c r="H14" s="4" t="s">
        <v>77</v>
      </c>
      <c r="I14" s="4" t="s">
        <v>78</v>
      </c>
      <c r="J14" s="4" t="s">
        <v>38</v>
      </c>
      <c r="K14" s="4" t="s">
        <v>39</v>
      </c>
      <c r="L14" s="4" t="s">
        <v>40</v>
      </c>
      <c r="M14" s="4" t="s">
        <v>98</v>
      </c>
      <c r="N14" s="4" t="s">
        <v>42</v>
      </c>
      <c r="O14" s="8" t="s">
        <v>99</v>
      </c>
      <c r="P14" s="4" t="s">
        <v>44</v>
      </c>
      <c r="Q14" s="13" t="s">
        <v>97</v>
      </c>
      <c r="R14" s="4"/>
      <c r="S14" s="7">
        <v>1.8796296296296297E-2</v>
      </c>
      <c r="T14" s="7">
        <v>2.3865740740740739E-2</v>
      </c>
      <c r="U14" s="7"/>
      <c r="V14" s="7"/>
      <c r="W14" s="7">
        <f t="shared" si="0"/>
        <v>0</v>
      </c>
      <c r="X14" s="7">
        <f>IF(OR(S14="",T14=""),"",T14-S14)</f>
        <v>5.0694444444444424E-3</v>
      </c>
      <c r="Y14" s="7">
        <v>7.5231481481481482E-4</v>
      </c>
      <c r="Z14" s="4" t="str">
        <f>TEXT(A14,"000")&amp;".mp4"</f>
        <v>034.mp4</v>
      </c>
      <c r="AA14" s="4" t="s">
        <v>46</v>
      </c>
      <c r="AB14" s="4" t="s">
        <v>47</v>
      </c>
      <c r="AC14" s="4" t="s">
        <v>47</v>
      </c>
      <c r="AD14" s="4" t="s">
        <v>46</v>
      </c>
      <c r="AE14" s="8"/>
    </row>
    <row r="15" spans="1:31" ht="66.75">
      <c r="A15" s="5">
        <v>35</v>
      </c>
      <c r="B15" s="6">
        <v>45949</v>
      </c>
      <c r="C15" s="4" t="s">
        <v>100</v>
      </c>
      <c r="D15" s="4" t="s">
        <v>34</v>
      </c>
      <c r="E15" s="4" t="s">
        <v>101</v>
      </c>
      <c r="F15" s="4" t="s">
        <v>56</v>
      </c>
      <c r="G15" s="4" t="s">
        <v>48</v>
      </c>
      <c r="H15" s="4" t="s">
        <v>101</v>
      </c>
      <c r="I15" s="4" t="s">
        <v>102</v>
      </c>
      <c r="J15" s="4" t="s">
        <v>103</v>
      </c>
      <c r="K15" s="4" t="s">
        <v>90</v>
      </c>
      <c r="L15" s="4" t="s">
        <v>40</v>
      </c>
      <c r="M15" s="4" t="s">
        <v>104</v>
      </c>
      <c r="N15" s="4" t="s">
        <v>13</v>
      </c>
      <c r="O15" s="8" t="s">
        <v>105</v>
      </c>
      <c r="P15" s="4" t="s">
        <v>44</v>
      </c>
      <c r="Q15" s="13" t="s">
        <v>106</v>
      </c>
      <c r="R15" s="4"/>
      <c r="S15" s="7">
        <v>1.0810185185185185E-2</v>
      </c>
      <c r="T15" s="7">
        <v>1.5752314814814816E-2</v>
      </c>
      <c r="U15" s="7"/>
      <c r="V15" s="7"/>
      <c r="W15" s="7">
        <f t="shared" si="0"/>
        <v>0</v>
      </c>
      <c r="X15" s="7">
        <f>IF(OR(S15="",T15=""),"",T15-S15)</f>
        <v>4.9421296296296314E-3</v>
      </c>
      <c r="Y15" s="7">
        <v>5.0925925925925921E-4</v>
      </c>
      <c r="Z15" s="4" t="str">
        <f>TEXT(A15,"000")&amp;".mp4"</f>
        <v>035.mp4</v>
      </c>
      <c r="AA15" s="4" t="s">
        <v>46</v>
      </c>
      <c r="AB15" s="4" t="s">
        <v>47</v>
      </c>
      <c r="AC15" s="4" t="s">
        <v>47</v>
      </c>
      <c r="AD15" s="4" t="s">
        <v>46</v>
      </c>
      <c r="AE15" s="8"/>
    </row>
    <row r="16" spans="1:31" ht="66.75">
      <c r="A16" s="5">
        <v>36</v>
      </c>
      <c r="B16" s="6">
        <v>45949</v>
      </c>
      <c r="C16" s="4" t="s">
        <v>100</v>
      </c>
      <c r="D16" s="4" t="s">
        <v>34</v>
      </c>
      <c r="E16" s="4" t="s">
        <v>101</v>
      </c>
      <c r="F16" s="4" t="s">
        <v>56</v>
      </c>
      <c r="G16" s="4" t="s">
        <v>36</v>
      </c>
      <c r="H16" s="4" t="s">
        <v>34</v>
      </c>
      <c r="I16" s="4" t="s">
        <v>49</v>
      </c>
      <c r="J16" s="4" t="s">
        <v>103</v>
      </c>
      <c r="K16" s="4" t="s">
        <v>90</v>
      </c>
      <c r="L16" s="4" t="s">
        <v>40</v>
      </c>
      <c r="M16" s="4" t="s">
        <v>107</v>
      </c>
      <c r="N16" s="4" t="s">
        <v>42</v>
      </c>
      <c r="O16" s="8" t="s">
        <v>108</v>
      </c>
      <c r="P16" s="4" t="s">
        <v>44</v>
      </c>
      <c r="Q16" s="13" t="s">
        <v>106</v>
      </c>
      <c r="R16" s="4"/>
      <c r="S16" s="7">
        <v>2.3935185185185184E-2</v>
      </c>
      <c r="T16" s="7">
        <v>2.732638888888889E-2</v>
      </c>
      <c r="U16" s="7"/>
      <c r="V16" s="7"/>
      <c r="W16" s="7">
        <f t="shared" si="0"/>
        <v>0</v>
      </c>
      <c r="X16" s="7">
        <f>IF(OR(S16="",T16=""),"",T16-S16)</f>
        <v>3.3912037037037053E-3</v>
      </c>
      <c r="Y16" s="7">
        <v>7.291666666666667E-4</v>
      </c>
      <c r="Z16" s="4" t="str">
        <f>TEXT(A16,"000")&amp;".mp4"</f>
        <v>036.mp4</v>
      </c>
      <c r="AA16" s="4" t="s">
        <v>46</v>
      </c>
      <c r="AB16" s="4" t="s">
        <v>47</v>
      </c>
      <c r="AC16" s="4" t="s">
        <v>47</v>
      </c>
      <c r="AD16" s="4" t="s">
        <v>46</v>
      </c>
      <c r="AE16" s="8"/>
    </row>
    <row r="17" spans="1:31" ht="84">
      <c r="A17" s="5">
        <v>37</v>
      </c>
      <c r="B17" s="6">
        <v>45949</v>
      </c>
      <c r="C17" s="4" t="s">
        <v>100</v>
      </c>
      <c r="D17" s="4" t="s">
        <v>34</v>
      </c>
      <c r="E17" s="4" t="s">
        <v>101</v>
      </c>
      <c r="F17" s="4" t="s">
        <v>65</v>
      </c>
      <c r="G17" s="4" t="s">
        <v>36</v>
      </c>
      <c r="H17" s="4" t="s">
        <v>34</v>
      </c>
      <c r="I17" s="4" t="s">
        <v>49</v>
      </c>
      <c r="J17" s="4" t="s">
        <v>38</v>
      </c>
      <c r="K17" s="4" t="s">
        <v>59</v>
      </c>
      <c r="L17" s="4" t="s">
        <v>51</v>
      </c>
      <c r="M17" s="4" t="s">
        <v>109</v>
      </c>
      <c r="N17" s="4" t="s">
        <v>64</v>
      </c>
      <c r="O17" s="8" t="s">
        <v>110</v>
      </c>
      <c r="P17" s="4" t="s">
        <v>44</v>
      </c>
      <c r="Q17" s="13" t="s">
        <v>111</v>
      </c>
      <c r="R17" s="4"/>
      <c r="S17" s="7">
        <v>9.1435185185185178E-3</v>
      </c>
      <c r="T17" s="7">
        <v>1.3425925925925926E-2</v>
      </c>
      <c r="U17" s="7"/>
      <c r="V17" s="7"/>
      <c r="W17" s="7">
        <f t="shared" si="0"/>
        <v>0</v>
      </c>
      <c r="X17" s="7">
        <f>IF(OR(S17="",T17=""),"",T17-S17)</f>
        <v>4.2824074074074084E-3</v>
      </c>
      <c r="Y17" s="7">
        <v>5.7870370370370367E-4</v>
      </c>
      <c r="Z17" s="4" t="str">
        <f>TEXT(A17,"000")&amp;".mp4"</f>
        <v>037.mp4</v>
      </c>
      <c r="AA17" s="4" t="s">
        <v>46</v>
      </c>
      <c r="AB17" s="4" t="s">
        <v>47</v>
      </c>
      <c r="AC17" s="4" t="s">
        <v>47</v>
      </c>
      <c r="AD17" s="4" t="s">
        <v>46</v>
      </c>
      <c r="AE17" s="8"/>
    </row>
    <row r="18" spans="1:31" ht="84">
      <c r="A18" s="5">
        <v>38</v>
      </c>
      <c r="B18" s="6">
        <v>45949</v>
      </c>
      <c r="C18" s="4" t="s">
        <v>100</v>
      </c>
      <c r="D18" s="4" t="s">
        <v>34</v>
      </c>
      <c r="E18" s="4" t="s">
        <v>101</v>
      </c>
      <c r="F18" s="4" t="s">
        <v>65</v>
      </c>
      <c r="G18" s="4" t="s">
        <v>48</v>
      </c>
      <c r="H18" s="4" t="s">
        <v>101</v>
      </c>
      <c r="I18" s="4" t="s">
        <v>102</v>
      </c>
      <c r="J18" s="4" t="s">
        <v>38</v>
      </c>
      <c r="K18" s="4" t="s">
        <v>59</v>
      </c>
      <c r="L18" s="4" t="s">
        <v>83</v>
      </c>
      <c r="M18" s="4" t="s">
        <v>112</v>
      </c>
      <c r="N18" s="4" t="s">
        <v>42</v>
      </c>
      <c r="O18" s="8" t="s">
        <v>113</v>
      </c>
      <c r="P18" s="4" t="s">
        <v>44</v>
      </c>
      <c r="Q18" s="13" t="s">
        <v>111</v>
      </c>
      <c r="R18" s="4"/>
      <c r="S18" s="7">
        <v>2.0509259259259258E-2</v>
      </c>
      <c r="T18" s="7">
        <v>2.6527777777777779E-2</v>
      </c>
      <c r="U18" s="7"/>
      <c r="V18" s="7"/>
      <c r="W18" s="7">
        <f t="shared" si="0"/>
        <v>0</v>
      </c>
      <c r="X18" s="7">
        <f>IF(OR(S18="",T18=""),"",T18-S18)</f>
        <v>6.0185185185185203E-3</v>
      </c>
      <c r="Y18" s="7">
        <v>4.5138888888888887E-4</v>
      </c>
      <c r="Z18" s="4" t="str">
        <f>TEXT(A18,"000")&amp;".mp4"</f>
        <v>038.mp4</v>
      </c>
      <c r="AA18" s="4" t="s">
        <v>46</v>
      </c>
      <c r="AB18" s="4" t="s">
        <v>47</v>
      </c>
      <c r="AC18" s="4" t="s">
        <v>47</v>
      </c>
      <c r="AD18" s="4" t="s">
        <v>46</v>
      </c>
      <c r="AE18" s="8"/>
    </row>
    <row r="19" spans="1:31" ht="66.75">
      <c r="A19" s="5">
        <v>39</v>
      </c>
      <c r="B19" s="6">
        <v>45955</v>
      </c>
      <c r="C19" s="4" t="s">
        <v>114</v>
      </c>
      <c r="D19" s="4" t="s">
        <v>115</v>
      </c>
      <c r="E19" s="4" t="s">
        <v>34</v>
      </c>
      <c r="F19" s="4" t="s">
        <v>56</v>
      </c>
      <c r="G19" s="4" t="s">
        <v>48</v>
      </c>
      <c r="H19" s="4" t="s">
        <v>34</v>
      </c>
      <c r="I19" s="4" t="s">
        <v>49</v>
      </c>
      <c r="J19" s="4" t="s">
        <v>116</v>
      </c>
      <c r="K19" s="4" t="s">
        <v>90</v>
      </c>
      <c r="L19" s="4" t="s">
        <v>40</v>
      </c>
      <c r="M19" s="4" t="s">
        <v>117</v>
      </c>
      <c r="N19" s="4" t="s">
        <v>64</v>
      </c>
      <c r="O19" s="8" t="s">
        <v>118</v>
      </c>
      <c r="P19" s="4" t="s">
        <v>44</v>
      </c>
      <c r="Q19" s="13" t="s">
        <v>119</v>
      </c>
      <c r="R19" s="4"/>
      <c r="S19" s="7">
        <v>1.0127314814814815E-2</v>
      </c>
      <c r="T19" s="7">
        <v>1.4733796296296297E-2</v>
      </c>
      <c r="U19" s="7"/>
      <c r="V19" s="7"/>
      <c r="W19" s="7">
        <f t="shared" si="0"/>
        <v>0</v>
      </c>
      <c r="X19" s="7">
        <f>IF(OR(S19="",T19=""),"",T19-S19)</f>
        <v>4.6064814814814822E-3</v>
      </c>
      <c r="Y19" s="7">
        <v>4.861111111111111E-4</v>
      </c>
      <c r="Z19" s="4" t="str">
        <f>TEXT(A19,"000")&amp;".mp4"</f>
        <v>039.mp4</v>
      </c>
      <c r="AA19" s="4" t="s">
        <v>46</v>
      </c>
      <c r="AB19" s="4" t="s">
        <v>47</v>
      </c>
      <c r="AC19" s="4" t="s">
        <v>47</v>
      </c>
      <c r="AD19" s="4" t="s">
        <v>46</v>
      </c>
      <c r="AE19" s="8"/>
    </row>
    <row r="20" spans="1:31" ht="66.75">
      <c r="A20" s="5">
        <v>40</v>
      </c>
      <c r="B20" s="6">
        <v>45955</v>
      </c>
      <c r="C20" s="4" t="s">
        <v>114</v>
      </c>
      <c r="D20" s="4" t="s">
        <v>115</v>
      </c>
      <c r="E20" s="4" t="s">
        <v>34</v>
      </c>
      <c r="F20" s="4" t="s">
        <v>56</v>
      </c>
      <c r="G20" s="4" t="s">
        <v>36</v>
      </c>
      <c r="H20" s="4" t="s">
        <v>115</v>
      </c>
      <c r="I20" s="4" t="s">
        <v>120</v>
      </c>
      <c r="J20" s="4" t="s">
        <v>116</v>
      </c>
      <c r="K20" s="4" t="s">
        <v>67</v>
      </c>
      <c r="L20" s="4" t="s">
        <v>121</v>
      </c>
      <c r="M20" s="4" t="s">
        <v>122</v>
      </c>
      <c r="N20" s="4" t="s">
        <v>64</v>
      </c>
      <c r="O20" s="8" t="s">
        <v>123</v>
      </c>
      <c r="P20" s="4" t="s">
        <v>44</v>
      </c>
      <c r="Q20" s="13" t="s">
        <v>119</v>
      </c>
      <c r="R20" s="4"/>
      <c r="S20" s="7">
        <v>2.2094907407407407E-2</v>
      </c>
      <c r="T20" s="7">
        <v>2.8541666666666667E-2</v>
      </c>
      <c r="U20" s="7"/>
      <c r="V20" s="7"/>
      <c r="W20" s="7">
        <f t="shared" si="0"/>
        <v>0</v>
      </c>
      <c r="X20" s="7">
        <f>IF(OR(S20="",T20=""),"",T20-S20)</f>
        <v>6.4467592592592597E-3</v>
      </c>
      <c r="Y20" s="7">
        <v>4.5138888888888887E-4</v>
      </c>
      <c r="Z20" s="4" t="str">
        <f>TEXT(A20,"000")&amp;".mp4"</f>
        <v>040.mp4</v>
      </c>
      <c r="AA20" s="4" t="s">
        <v>46</v>
      </c>
      <c r="AB20" s="4" t="s">
        <v>47</v>
      </c>
      <c r="AC20" s="4" t="s">
        <v>47</v>
      </c>
      <c r="AD20" s="4" t="s">
        <v>46</v>
      </c>
      <c r="AE20" s="8"/>
    </row>
    <row r="21" spans="1:31" ht="84">
      <c r="A21" s="5">
        <v>41</v>
      </c>
      <c r="B21" s="6">
        <v>45955</v>
      </c>
      <c r="C21" s="4" t="s">
        <v>114</v>
      </c>
      <c r="D21" s="4" t="s">
        <v>115</v>
      </c>
      <c r="E21" s="4" t="s">
        <v>34</v>
      </c>
      <c r="F21" s="4" t="s">
        <v>65</v>
      </c>
      <c r="G21" s="4" t="s">
        <v>48</v>
      </c>
      <c r="H21" s="4" t="s">
        <v>34</v>
      </c>
      <c r="I21" s="4" t="s">
        <v>49</v>
      </c>
      <c r="J21" s="4" t="s">
        <v>86</v>
      </c>
      <c r="K21" s="4" t="s">
        <v>59</v>
      </c>
      <c r="L21" s="4" t="s">
        <v>121</v>
      </c>
      <c r="M21" s="4" t="s">
        <v>124</v>
      </c>
      <c r="N21" s="4" t="s">
        <v>42</v>
      </c>
      <c r="O21" s="8" t="s">
        <v>125</v>
      </c>
      <c r="P21" s="4" t="s">
        <v>44</v>
      </c>
      <c r="Q21" s="13" t="s">
        <v>126</v>
      </c>
      <c r="R21" s="4"/>
      <c r="S21" s="7">
        <v>6.9212962962962961E-3</v>
      </c>
      <c r="T21" s="7">
        <v>1.1689814814814814E-2</v>
      </c>
      <c r="U21" s="7"/>
      <c r="V21" s="7"/>
      <c r="W21" s="7">
        <f t="shared" si="0"/>
        <v>0</v>
      </c>
      <c r="X21" s="7">
        <f>IF(OR(S21="",T21=""),"",T21-S21)</f>
        <v>4.7685185185185183E-3</v>
      </c>
      <c r="Y21" s="7">
        <v>5.3240740740740744E-4</v>
      </c>
      <c r="Z21" s="4" t="str">
        <f>TEXT(A21,"000")&amp;".mp4"</f>
        <v>041.mp4</v>
      </c>
      <c r="AA21" s="4" t="s">
        <v>46</v>
      </c>
      <c r="AB21" s="4" t="s">
        <v>47</v>
      </c>
      <c r="AC21" s="4" t="s">
        <v>47</v>
      </c>
      <c r="AD21" s="4" t="s">
        <v>46</v>
      </c>
      <c r="AE21" s="8"/>
    </row>
    <row r="22" spans="1:31" ht="84">
      <c r="A22" s="5">
        <v>42</v>
      </c>
      <c r="B22" s="6">
        <v>45955</v>
      </c>
      <c r="C22" s="4" t="s">
        <v>114</v>
      </c>
      <c r="D22" s="4" t="s">
        <v>115</v>
      </c>
      <c r="E22" s="4" t="s">
        <v>34</v>
      </c>
      <c r="F22" s="4" t="s">
        <v>65</v>
      </c>
      <c r="G22" s="4" t="s">
        <v>36</v>
      </c>
      <c r="H22" s="4" t="s">
        <v>115</v>
      </c>
      <c r="I22" s="4" t="s">
        <v>120</v>
      </c>
      <c r="J22" s="4" t="s">
        <v>86</v>
      </c>
      <c r="K22" s="4" t="s">
        <v>90</v>
      </c>
      <c r="L22" s="4" t="s">
        <v>40</v>
      </c>
      <c r="M22" s="4" t="s">
        <v>127</v>
      </c>
      <c r="N22" s="4" t="s">
        <v>64</v>
      </c>
      <c r="O22" s="8" t="s">
        <v>128</v>
      </c>
      <c r="P22" s="4" t="s">
        <v>44</v>
      </c>
      <c r="Q22" s="13" t="s">
        <v>126</v>
      </c>
      <c r="R22" s="4"/>
      <c r="S22" s="7">
        <v>1.8842592592592591E-2</v>
      </c>
      <c r="T22" s="7">
        <v>2.2407407407407407E-2</v>
      </c>
      <c r="U22" s="7"/>
      <c r="V22" s="7"/>
      <c r="W22" s="7">
        <f t="shared" si="0"/>
        <v>0</v>
      </c>
      <c r="X22" s="7">
        <f>IF(OR(S22="",T22=""),"",T22-S22)</f>
        <v>3.5648148148148158E-3</v>
      </c>
      <c r="Y22" s="7">
        <v>4.3981481481481481E-4</v>
      </c>
      <c r="Z22" s="4" t="str">
        <f>TEXT(A22,"000")&amp;".mp4"</f>
        <v>042.mp4</v>
      </c>
      <c r="AA22" s="4" t="s">
        <v>46</v>
      </c>
      <c r="AB22" s="4" t="s">
        <v>47</v>
      </c>
      <c r="AC22" s="4" t="s">
        <v>47</v>
      </c>
      <c r="AD22" s="4" t="s">
        <v>46</v>
      </c>
      <c r="AE22" s="8"/>
    </row>
    <row r="23" spans="1:31" ht="66.75">
      <c r="A23" s="5">
        <v>43</v>
      </c>
      <c r="B23" s="6">
        <v>45956</v>
      </c>
      <c r="C23" s="4" t="s">
        <v>129</v>
      </c>
      <c r="D23" s="4" t="s">
        <v>34</v>
      </c>
      <c r="E23" s="4" t="s">
        <v>130</v>
      </c>
      <c r="F23" s="4" t="s">
        <v>56</v>
      </c>
      <c r="G23" s="4" t="s">
        <v>48</v>
      </c>
      <c r="H23" s="4" t="s">
        <v>130</v>
      </c>
      <c r="I23" s="4" t="s">
        <v>131</v>
      </c>
      <c r="J23" s="4" t="s">
        <v>58</v>
      </c>
      <c r="K23" s="4" t="s">
        <v>67</v>
      </c>
      <c r="L23" s="4" t="s">
        <v>83</v>
      </c>
      <c r="M23" s="4" t="s">
        <v>132</v>
      </c>
      <c r="N23" s="4" t="s">
        <v>42</v>
      </c>
      <c r="O23" s="8" t="s">
        <v>133</v>
      </c>
      <c r="P23" s="4" t="s">
        <v>44</v>
      </c>
      <c r="Q23" s="13" t="s">
        <v>134</v>
      </c>
      <c r="R23" s="4"/>
      <c r="S23" s="7">
        <v>9.6527777777777775E-3</v>
      </c>
      <c r="T23" s="7">
        <v>1.2812499999999999E-2</v>
      </c>
      <c r="U23" s="7"/>
      <c r="V23" s="7"/>
      <c r="W23" s="7">
        <f t="shared" si="0"/>
        <v>0</v>
      </c>
      <c r="X23" s="7">
        <f>IF(OR(S23="",T23=""),"",T23-S23)</f>
        <v>3.1597222222222218E-3</v>
      </c>
      <c r="Y23" s="7">
        <v>2.7777777777777778E-4</v>
      </c>
      <c r="Z23" s="4" t="str">
        <f>TEXT(A23,"000")&amp;".mp4"</f>
        <v>043.mp4</v>
      </c>
      <c r="AA23" s="4" t="s">
        <v>46</v>
      </c>
      <c r="AB23" s="4" t="s">
        <v>47</v>
      </c>
      <c r="AC23" s="4" t="s">
        <v>47</v>
      </c>
      <c r="AD23" s="4" t="s">
        <v>46</v>
      </c>
      <c r="AE23" s="8"/>
    </row>
    <row r="24" spans="1:31" ht="66.75">
      <c r="A24" s="5">
        <v>44</v>
      </c>
      <c r="B24" s="6">
        <v>45956</v>
      </c>
      <c r="C24" s="4" t="s">
        <v>129</v>
      </c>
      <c r="D24" s="4" t="s">
        <v>34</v>
      </c>
      <c r="E24" s="4" t="s">
        <v>130</v>
      </c>
      <c r="F24" s="4" t="s">
        <v>56</v>
      </c>
      <c r="G24" s="4" t="s">
        <v>36</v>
      </c>
      <c r="H24" s="4" t="s">
        <v>34</v>
      </c>
      <c r="I24" s="4" t="s">
        <v>49</v>
      </c>
      <c r="J24" s="4" t="s">
        <v>58</v>
      </c>
      <c r="K24" s="4" t="s">
        <v>59</v>
      </c>
      <c r="L24" s="4" t="s">
        <v>51</v>
      </c>
      <c r="M24" s="4" t="s">
        <v>135</v>
      </c>
      <c r="N24" s="4" t="s">
        <v>64</v>
      </c>
      <c r="O24" s="8" t="s">
        <v>136</v>
      </c>
      <c r="P24" s="4" t="s">
        <v>44</v>
      </c>
      <c r="Q24" s="13" t="s">
        <v>134</v>
      </c>
      <c r="R24" s="4"/>
      <c r="S24" s="7">
        <v>1.9178240740740742E-2</v>
      </c>
      <c r="T24" s="7">
        <v>2.3229166666666665E-2</v>
      </c>
      <c r="U24" s="7"/>
      <c r="V24" s="7"/>
      <c r="W24" s="7">
        <f t="shared" si="0"/>
        <v>0</v>
      </c>
      <c r="X24" s="7">
        <f>IF(OR(S24="",T24=""),"",T24-S24)</f>
        <v>4.0509259259259231E-3</v>
      </c>
      <c r="Y24" s="7">
        <v>4.9768518518518521E-4</v>
      </c>
      <c r="Z24" s="4" t="str">
        <f>TEXT(A24,"000")&amp;".mp4"</f>
        <v>044.mp4</v>
      </c>
      <c r="AA24" s="4" t="s">
        <v>46</v>
      </c>
      <c r="AB24" s="4" t="s">
        <v>47</v>
      </c>
      <c r="AC24" s="4" t="s">
        <v>47</v>
      </c>
      <c r="AD24" s="4" t="s">
        <v>46</v>
      </c>
      <c r="AE24" s="8"/>
    </row>
  </sheetData>
  <mergeCells count="1">
    <mergeCell ref="A1:AE1"/>
  </mergeCells>
  <conditionalFormatting sqref="AA3:AA24">
    <cfRule type="expression" dxfId="16" priority="1">
      <formula>AA3="Yes"</formula>
    </cfRule>
    <cfRule type="expression" dxfId="15" priority="2">
      <formula>AA3="No"</formula>
    </cfRule>
    <cfRule type="expression" dxfId="14" priority="3">
      <formula>AA3="Partial"</formula>
    </cfRule>
  </conditionalFormatting>
  <conditionalFormatting sqref="AB3:AB24">
    <cfRule type="expression" dxfId="13" priority="4">
      <formula>AB3="Done"</formula>
    </cfRule>
    <cfRule type="expression" dxfId="12" priority="5">
      <formula>AB3="In Progress"</formula>
    </cfRule>
    <cfRule type="expression" dxfId="11" priority="6">
      <formula>AB3="Problem"</formula>
    </cfRule>
  </conditionalFormatting>
  <conditionalFormatting sqref="AC3:AC24">
    <cfRule type="expression" dxfId="10" priority="7">
      <formula>AC3="Done"</formula>
    </cfRule>
    <cfRule type="expression" dxfId="9" priority="8">
      <formula>AC3="In Progress"</formula>
    </cfRule>
    <cfRule type="expression" dxfId="8" priority="9">
      <formula>AC3="Problem"</formula>
    </cfRule>
  </conditionalFormatting>
  <conditionalFormatting sqref="AD3:AD24">
    <cfRule type="expression" dxfId="7" priority="10">
      <formula>AD3="Yes"</formula>
    </cfRule>
  </conditionalFormatting>
  <hyperlinks>
    <hyperlink ref="Q5" r:id="rId1" xr:uid="{479E29D4-73B0-4183-9EC1-CA413931E001}"/>
    <hyperlink ref="Q6" r:id="rId2" xr:uid="{5EC62F32-71E8-4520-8557-9004DCFB6FAA}"/>
    <hyperlink ref="Q7" r:id="rId3" xr:uid="{53EE1D8B-682F-4FBE-90BB-EF62ED62B81F}"/>
    <hyperlink ref="Q8" r:id="rId4" xr:uid="{E1AC4263-A7AC-416B-94C5-0A6EAECE7BF1}"/>
    <hyperlink ref="Q9" r:id="rId5" xr:uid="{9F538891-92B1-46E9-A0D4-D23A95CB6EFD}"/>
    <hyperlink ref="Q10" r:id="rId6" xr:uid="{E6778A31-85A4-41B2-8DEB-4F25826DC650}"/>
    <hyperlink ref="Q11" r:id="rId7" xr:uid="{A202282F-745E-46EC-9871-D1792AF44A1F}"/>
    <hyperlink ref="Q12" r:id="rId8" xr:uid="{860623EB-A753-43C9-AA35-7AD49CF19635}"/>
    <hyperlink ref="Q13" r:id="rId9" xr:uid="{FFDC7D98-B529-4224-9B51-F98B94523A0D}"/>
    <hyperlink ref="Q14" r:id="rId10" xr:uid="{74C9E6C9-04BE-4795-8055-D403B9596B68}"/>
    <hyperlink ref="Q15" r:id="rId11" xr:uid="{B0C14875-A4E9-45E9-BBF5-E238F764F75F}"/>
    <hyperlink ref="Q16" r:id="rId12" xr:uid="{4779E274-1EE8-45A5-ABC9-D2D8737EF27C}"/>
    <hyperlink ref="Q17" r:id="rId13" xr:uid="{926A4346-A71D-4BB3-B0AB-855286AC7658}"/>
    <hyperlink ref="Q18" r:id="rId14" xr:uid="{1F4C962E-B3AB-439C-88C4-609A612EFFD7}"/>
    <hyperlink ref="Q19" r:id="rId15" xr:uid="{DEB26165-8E7A-42C1-8A70-B994880EC147}"/>
    <hyperlink ref="Q20" r:id="rId16" xr:uid="{D67800CC-AD7B-4A2F-B485-279328F1A1E9}"/>
    <hyperlink ref="Q21" r:id="rId17" xr:uid="{1A19F454-8A60-4C4A-8F96-FAF2A441449E}"/>
    <hyperlink ref="Q22" r:id="rId18" xr:uid="{DC2656FD-352C-4818-B8B9-012035949A8F}"/>
    <hyperlink ref="Q23" r:id="rId19" xr:uid="{8C065B1C-33C7-4639-9ADD-F262E417501F}"/>
    <hyperlink ref="Q24" r:id="rId20" xr:uid="{2A22DE95-7F64-41FB-8E48-6FBF215182FA}"/>
    <hyperlink ref="Q3" r:id="rId21" xr:uid="{4695C6C3-4570-4E2C-A91F-9D8805E6D64D}"/>
    <hyperlink ref="Q4" r:id="rId22" xr:uid="{B931F75E-20FE-4D03-8AA7-9B1FC12F91F8}"/>
  </hyperlinks>
  <pageMargins left="0.7" right="0.7" top="0.75" bottom="0.75" header="0.3" footer="0.3"/>
  <tableParts count="1">
    <tablePart r:id="rId23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000-000000000000}">
          <x14:formula1>
            <xm:f>Lists!$A$2:$A$5</xm:f>
          </x14:formula1>
          <xm:sqref>AA3:AA24</xm:sqref>
        </x14:dataValidation>
        <x14:dataValidation type="list" xr:uid="{00000000-0002-0000-0000-000001000000}">
          <x14:formula1>
            <xm:f>Lists!$B$2:$B$5</xm:f>
          </x14:formula1>
          <xm:sqref>AB3:AB24</xm:sqref>
        </x14:dataValidation>
        <x14:dataValidation type="list" xr:uid="{00000000-0002-0000-0000-000002000000}">
          <x14:formula1>
            <xm:f>Lists!$C$2:$C$5</xm:f>
          </x14:formula1>
          <xm:sqref>AC3:AC24</xm:sqref>
        </x14:dataValidation>
        <x14:dataValidation type="list" xr:uid="{00000000-0002-0000-0000-000003000000}">
          <x14:formula1>
            <xm:f>Lists!$D$2:$D$3</xm:f>
          </x14:formula1>
          <xm:sqref>AD3:AD24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4"/>
  <sheetViews>
    <sheetView zoomScaleNormal="100" zoomScaleSheetLayoutView="100" workbookViewId="0"/>
  </sheetViews>
  <sheetFormatPr defaultRowHeight="15"/>
  <cols>
    <col min="1" max="1" width="23" customWidth="1"/>
    <col min="2" max="2" width="40" customWidth="1"/>
    <col min="4" max="4" width="18" customWidth="1"/>
    <col min="5" max="5" width="12" customWidth="1"/>
    <col min="7" max="7" width="18" customWidth="1"/>
    <col min="8" max="8" width="12" customWidth="1"/>
  </cols>
  <sheetData>
    <row r="1" spans="1:27" ht="27.95" customHeight="1">
      <c r="A1" s="16" t="s">
        <v>137</v>
      </c>
      <c r="B1" s="16"/>
      <c r="C1" s="16"/>
      <c r="D1" s="16"/>
      <c r="E1" s="16"/>
      <c r="F1" s="16"/>
      <c r="G1" s="16"/>
      <c r="H1" s="16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3" spans="1:27">
      <c r="A3" s="9" t="s">
        <v>138</v>
      </c>
      <c r="B3" s="3" t="s">
        <v>139</v>
      </c>
      <c r="C3" s="3"/>
      <c r="D3" s="1" t="s">
        <v>28</v>
      </c>
      <c r="E3" s="1" t="s">
        <v>140</v>
      </c>
      <c r="F3" s="3"/>
      <c r="G3" s="1" t="s">
        <v>29</v>
      </c>
      <c r="H3" s="1" t="s">
        <v>140</v>
      </c>
    </row>
    <row r="4" spans="1:27">
      <c r="A4" s="9" t="s">
        <v>141</v>
      </c>
      <c r="B4" s="3">
        <f>COUNTA('Tracker_23-44'!A3:A24)</f>
        <v>22</v>
      </c>
      <c r="C4" s="3"/>
      <c r="D4" s="3" t="s">
        <v>142</v>
      </c>
      <c r="E4" s="3">
        <f>COUNTIF('Tracker_23-44'!AB3:AB24,"Not Started")</f>
        <v>0</v>
      </c>
      <c r="F4" s="3"/>
      <c r="G4" s="3" t="s">
        <v>142</v>
      </c>
      <c r="H4" s="3">
        <f>COUNTIF('Tracker_23-44'!AC3:AC24,"Not Started")</f>
        <v>0</v>
      </c>
    </row>
    <row r="5" spans="1:27">
      <c r="A5" s="9" t="s">
        <v>143</v>
      </c>
      <c r="B5" s="3" t="s">
        <v>144</v>
      </c>
      <c r="C5" s="3"/>
      <c r="D5" s="3" t="s">
        <v>145</v>
      </c>
      <c r="E5" s="3">
        <f>COUNTIF('Tracker_23-44'!AB3:AB24,"In Progress")</f>
        <v>0</v>
      </c>
      <c r="F5" s="3"/>
      <c r="G5" s="3" t="s">
        <v>145</v>
      </c>
      <c r="H5" s="3">
        <f>COUNTIF('Tracker_23-44'!AC3:AC24,"In Progress")</f>
        <v>0</v>
      </c>
    </row>
    <row r="6" spans="1:27">
      <c r="A6" s="9" t="s">
        <v>146</v>
      </c>
      <c r="B6" s="3" t="s">
        <v>44</v>
      </c>
      <c r="C6" s="3"/>
      <c r="D6" s="3" t="s">
        <v>47</v>
      </c>
      <c r="E6" s="3">
        <f>COUNTIF('Tracker_23-44'!AB3:AB24,"Done")</f>
        <v>22</v>
      </c>
      <c r="F6" s="3"/>
      <c r="G6" s="3" t="s">
        <v>47</v>
      </c>
      <c r="H6" s="3">
        <f>COUNTIF('Tracker_23-44'!AC3:AC24,"Done")</f>
        <v>22</v>
      </c>
    </row>
    <row r="7" spans="1:27">
      <c r="A7" s="9" t="s">
        <v>147</v>
      </c>
      <c r="B7" s="3" t="s">
        <v>148</v>
      </c>
      <c r="C7" s="3"/>
      <c r="D7" s="3" t="s">
        <v>149</v>
      </c>
      <c r="E7" s="3">
        <f>COUNTIF('Tracker_23-44'!AB3:AB24,"Problem")</f>
        <v>0</v>
      </c>
      <c r="F7" s="3"/>
      <c r="G7" s="3" t="s">
        <v>149</v>
      </c>
      <c r="H7" s="3">
        <f>COUNTIF('Tracker_23-44'!AC3:AC24,"Problem")</f>
        <v>0</v>
      </c>
    </row>
    <row r="8" spans="1:27">
      <c r="A8" s="9" t="s">
        <v>150</v>
      </c>
      <c r="B8" s="3" t="s">
        <v>151</v>
      </c>
      <c r="C8" s="3"/>
      <c r="D8" s="3"/>
      <c r="E8" s="3"/>
      <c r="F8" s="3"/>
      <c r="G8" s="3"/>
      <c r="H8" s="3"/>
    </row>
    <row r="9" spans="1:27">
      <c r="A9" s="3"/>
      <c r="B9" s="3"/>
      <c r="C9" s="3"/>
      <c r="D9" s="3"/>
      <c r="E9" s="3"/>
      <c r="F9" s="3"/>
      <c r="G9" s="3"/>
      <c r="H9" s="3"/>
    </row>
    <row r="10" spans="1:27">
      <c r="A10" s="3"/>
      <c r="B10" s="3"/>
      <c r="C10" s="3"/>
      <c r="D10" s="1" t="s">
        <v>27</v>
      </c>
      <c r="E10" s="1" t="s">
        <v>140</v>
      </c>
      <c r="F10" s="3"/>
      <c r="G10" s="3"/>
      <c r="H10" s="3"/>
    </row>
    <row r="11" spans="1:27">
      <c r="A11" s="3"/>
      <c r="B11" s="3"/>
      <c r="C11" s="3"/>
      <c r="D11" s="3" t="s">
        <v>152</v>
      </c>
      <c r="E11" s="3">
        <f>COUNTIF('Tracker_23-44'!AA3:AA24,"Unknown")</f>
        <v>0</v>
      </c>
      <c r="F11" s="3"/>
      <c r="G11" s="3"/>
      <c r="H11" s="3"/>
    </row>
    <row r="12" spans="1:27">
      <c r="A12" s="3"/>
      <c r="B12" s="3"/>
      <c r="C12" s="3"/>
      <c r="D12" s="3" t="s">
        <v>46</v>
      </c>
      <c r="E12" s="3">
        <f>COUNTIF('Tracker_23-44'!AA3:AA24,"Yes")</f>
        <v>22</v>
      </c>
      <c r="F12" s="3"/>
      <c r="G12" s="3"/>
      <c r="H12" s="3"/>
    </row>
    <row r="13" spans="1:27">
      <c r="A13" s="3"/>
      <c r="B13" s="3"/>
      <c r="C13" s="3"/>
      <c r="D13" s="3" t="s">
        <v>153</v>
      </c>
      <c r="E13" s="3">
        <f>COUNTIF('Tracker_23-44'!AA3:AA24,"No")</f>
        <v>0</v>
      </c>
      <c r="F13" s="3"/>
      <c r="G13" s="3"/>
      <c r="H13" s="3"/>
    </row>
    <row r="14" spans="1:27">
      <c r="A14" s="3"/>
      <c r="B14" s="3"/>
      <c r="C14" s="3"/>
      <c r="D14" s="3" t="s">
        <v>154</v>
      </c>
      <c r="E14" s="3">
        <f>COUNTIF('Tracker_23-44'!AA3:AA24,"Partial")</f>
        <v>0</v>
      </c>
      <c r="F14" s="3"/>
      <c r="G14" s="3"/>
      <c r="H14" s="3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"/>
  <sheetViews>
    <sheetView zoomScaleNormal="100" zoomScaleSheetLayoutView="100" workbookViewId="0"/>
  </sheetViews>
  <sheetFormatPr defaultRowHeight="15"/>
  <cols>
    <col min="1" max="1" width="18" customWidth="1"/>
    <col min="2" max="2" width="100" customWidth="1"/>
  </cols>
  <sheetData>
    <row r="1" spans="1:27">
      <c r="A1" s="11" t="s">
        <v>155</v>
      </c>
      <c r="B1" s="11" t="s">
        <v>156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s="3" t="s">
        <v>56</v>
      </c>
      <c r="B2" s="3" t="s">
        <v>157</v>
      </c>
    </row>
    <row r="3" spans="1:27">
      <c r="A3" s="3" t="s">
        <v>65</v>
      </c>
      <c r="B3" s="3" t="s">
        <v>158</v>
      </c>
    </row>
    <row r="4" spans="1:27">
      <c r="A4" s="3" t="s">
        <v>93</v>
      </c>
      <c r="B4" s="3" t="s">
        <v>159</v>
      </c>
    </row>
    <row r="5" spans="1:27">
      <c r="A5" s="3" t="s">
        <v>160</v>
      </c>
      <c r="B5" s="3" t="s">
        <v>161</v>
      </c>
    </row>
    <row r="6" spans="1:27">
      <c r="A6" s="3" t="s">
        <v>162</v>
      </c>
      <c r="B6" s="3" t="s">
        <v>163</v>
      </c>
    </row>
    <row r="7" spans="1:27">
      <c r="A7" s="3" t="s">
        <v>164</v>
      </c>
      <c r="B7" s="3" t="s">
        <v>165</v>
      </c>
    </row>
    <row r="8" spans="1:27">
      <c r="A8" s="3" t="s">
        <v>166</v>
      </c>
      <c r="B8" s="3" t="s">
        <v>167</v>
      </c>
    </row>
    <row r="9" spans="1:27">
      <c r="A9" s="3" t="s">
        <v>168</v>
      </c>
      <c r="B9" s="3" t="s">
        <v>169</v>
      </c>
    </row>
    <row r="10" spans="1:27">
      <c r="A10" s="3" t="s">
        <v>170</v>
      </c>
      <c r="B10" s="3" t="s">
        <v>171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"/>
  <sheetViews>
    <sheetView zoomScaleNormal="100" zoomScaleSheetLayoutView="100" workbookViewId="0"/>
  </sheetViews>
  <sheetFormatPr defaultRowHeight="15"/>
  <cols>
    <col min="1" max="4" width="18" customWidth="1"/>
  </cols>
  <sheetData>
    <row r="1" spans="1:27">
      <c r="A1" s="12" t="s">
        <v>27</v>
      </c>
      <c r="B1" s="12" t="s">
        <v>28</v>
      </c>
      <c r="C1" s="12" t="s">
        <v>29</v>
      </c>
      <c r="D1" s="12" t="s">
        <v>30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t="s">
        <v>152</v>
      </c>
      <c r="B2" t="s">
        <v>142</v>
      </c>
      <c r="C2" t="s">
        <v>142</v>
      </c>
      <c r="D2" t="s">
        <v>153</v>
      </c>
    </row>
    <row r="3" spans="1:27">
      <c r="A3" t="s">
        <v>46</v>
      </c>
      <c r="B3" t="s">
        <v>145</v>
      </c>
      <c r="C3" t="s">
        <v>145</v>
      </c>
      <c r="D3" t="s">
        <v>46</v>
      </c>
    </row>
    <row r="4" spans="1:27">
      <c r="A4" t="s">
        <v>153</v>
      </c>
      <c r="B4" t="s">
        <v>47</v>
      </c>
      <c r="C4" t="s">
        <v>47</v>
      </c>
    </row>
    <row r="5" spans="1:27">
      <c r="A5" t="s">
        <v>154</v>
      </c>
      <c r="B5" t="s">
        <v>149</v>
      </c>
      <c r="C5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NALMPANT, N. (Tolga)</cp:lastModifiedBy>
  <cp:revision/>
  <dcterms:created xsi:type="dcterms:W3CDTF">2026-05-02T15:02:06Z</dcterms:created>
  <dcterms:modified xsi:type="dcterms:W3CDTF">2026-05-03T13:25:26Z</dcterms:modified>
  <cp:category/>
  <cp:contentStatus/>
</cp:coreProperties>
</file>